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Subhadip\Desktop\"/>
    </mc:Choice>
  </mc:AlternateContent>
  <xr:revisionPtr revIDLastSave="0" documentId="13_ncr:1_{864B8377-09E9-4D28-9E0A-0F0091BAE80D}" xr6:coauthVersionLast="47" xr6:coauthVersionMax="47" xr10:uidLastSave="{00000000-0000-0000-0000-000000000000}"/>
  <bookViews>
    <workbookView xWindow="-108" yWindow="-108" windowWidth="23256" windowHeight="12456" tabRatio="808" activeTab="8" xr2:uid="{9B8AFE6E-F8C6-4FF5-8C21-ECB01AB74E6B}"/>
  </bookViews>
  <sheets>
    <sheet name="AZ" sheetId="1" r:id="rId1"/>
    <sheet name="Flipkart" sheetId="3" r:id="rId2"/>
    <sheet name="jiomart" sheetId="4" r:id="rId3"/>
    <sheet name="Blinkit" sheetId="5" r:id="rId4"/>
    <sheet name="BB" sheetId="6" r:id="rId5"/>
    <sheet name="Unified_Table" sheetId="7" r:id="rId6"/>
    <sheet name="Pivots" sheetId="8" r:id="rId7"/>
    <sheet name="Report" sheetId="11" r:id="rId8"/>
    <sheet name="Dashboard" sheetId="9" r:id="rId9"/>
  </sheets>
  <definedNames>
    <definedName name="_xlnm._FilterDatabase" localSheetId="4" hidden="1">BB!$B$1:$D$1</definedName>
    <definedName name="_xlnm._FilterDatabase" localSheetId="3" hidden="1">Blinkit!$B$1:$D$1</definedName>
    <definedName name="_xlnm._FilterDatabase" localSheetId="2" hidden="1">jiomart!$C$1:$L$1</definedName>
    <definedName name="ExternalData_1" localSheetId="5" hidden="1">Unified_Table!$A$1:$I$912</definedName>
    <definedName name="Slicer_Category">#N/A</definedName>
    <definedName name="Slicer_Channel">#N/A</definedName>
    <definedName name="Slicer_Month">#N/A</definedName>
  </definedNames>
  <calcPr calcId="191028"/>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11" l="1"/>
  <c r="T6" i="9"/>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B9" i="11"/>
  <c r="P6" i="9"/>
  <c r="B8" i="11"/>
  <c r="B7" i="11"/>
  <c r="B6" i="11"/>
  <c r="I2" i="5"/>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2" i="4"/>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 i="3"/>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2" i="1"/>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2" i="6"/>
  <c r="G6" i="9"/>
  <c r="C6"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7E0696-03FE-47F9-96F4-51A6A3CB342F}" keepAlive="1" name="Query - AZ" description="Connection to the 'AZ' query in the workbook." type="5" refreshedVersion="0" background="1">
    <dbPr connection="Provider=Microsoft.Mashup.OleDb.1;Data Source=$Workbook$;Location=AZ;Extended Properties=&quot;&quot;" command="SELECT * FROM [AZ]"/>
  </connection>
  <connection id="2" xr16:uid="{2F5AAA75-2108-4809-971C-718C00379517}" keepAlive="1" name="Query - BB" description="Connection to the 'BB' query in the workbook." type="5" refreshedVersion="0" background="1">
    <dbPr connection="Provider=Microsoft.Mashup.OleDb.1;Data Source=$Workbook$;Location=BB;Extended Properties=&quot;&quot;" command="SELECT * FROM [BB]"/>
  </connection>
  <connection id="3" xr16:uid="{77FB3C10-74A7-4447-86B7-8E1C7805EAA6}" keepAlive="1" name="Query - BL" description="Connection to the 'BL' query in the workbook." type="5" refreshedVersion="0" background="1">
    <dbPr connection="Provider=Microsoft.Mashup.OleDb.1;Data Source=$Workbook$;Location=BL;Extended Properties=&quot;&quot;" command="SELECT * FROM [BL]"/>
  </connection>
  <connection id="4" xr16:uid="{E8100D26-E5D7-4881-B4B4-61E65287BB99}" keepAlive="1" name="Query - FK" description="Connection to the 'FK' query in the workbook." type="5" refreshedVersion="0" background="1">
    <dbPr connection="Provider=Microsoft.Mashup.OleDb.1;Data Source=$Workbook$;Location=FK;Extended Properties=&quot;&quot;" command="SELECT * FROM [FK]"/>
  </connection>
  <connection id="5" xr16:uid="{60E9820D-7FA8-4D3A-894A-27A2CDD0C8BC}" keepAlive="1" name="Query - JM" description="Connection to the 'JM' query in the workbook." type="5" refreshedVersion="0" background="1">
    <dbPr connection="Provider=Microsoft.Mashup.OleDb.1;Data Source=$Workbook$;Location=JM;Extended Properties=&quot;&quot;" command="SELECT * FROM [JM]"/>
  </connection>
  <connection id="6" xr16:uid="{3165243A-EFA7-433F-AC70-A628CC41AC4F}" keepAlive="1" name="Query - Unified_Table" description="Connection to the 'Unified_Table' query in the workbook." type="5" refreshedVersion="7" background="1" saveData="1">
    <dbPr connection="Provider=Microsoft.Mashup.OleDb.1;Data Source=$Workbook$;Location=Unified_Table;Extended Properties=&quot;&quot;" command="SELECT * FROM [Unified_Table]"/>
  </connection>
</connections>
</file>

<file path=xl/sharedStrings.xml><?xml version="1.0" encoding="utf-8"?>
<sst xmlns="http://schemas.openxmlformats.org/spreadsheetml/2006/main" count="7502" uniqueCount="49">
  <si>
    <t>Channel</t>
  </si>
  <si>
    <t>Month</t>
  </si>
  <si>
    <t>Master Sku</t>
  </si>
  <si>
    <t>Category</t>
  </si>
  <si>
    <t>Qty</t>
  </si>
  <si>
    <t>MRP Sales</t>
  </si>
  <si>
    <t>Taxes</t>
  </si>
  <si>
    <t>asp</t>
  </si>
  <si>
    <t>Amazon</t>
  </si>
  <si>
    <t>Feb</t>
  </si>
  <si>
    <t>DF_Cashews_200</t>
  </si>
  <si>
    <t>Cashews</t>
  </si>
  <si>
    <t>DF_Cashews_500</t>
  </si>
  <si>
    <t>DF_GR_500</t>
  </si>
  <si>
    <t>Green Raisins</t>
  </si>
  <si>
    <t>DF_GR_200</t>
  </si>
  <si>
    <t>DF_Almonds_200</t>
  </si>
  <si>
    <t>Almonds</t>
  </si>
  <si>
    <t>DF_Almonds_500</t>
  </si>
  <si>
    <t>DF_Almonds_500_P2</t>
  </si>
  <si>
    <t>DF_GR_500_P2</t>
  </si>
  <si>
    <t>DF_Cashews_500_P2</t>
  </si>
  <si>
    <t>DF_BR_200</t>
  </si>
  <si>
    <t>Black Raisins</t>
  </si>
  <si>
    <t>DF_BR_500</t>
  </si>
  <si>
    <t>DF_BR_500_P2</t>
  </si>
  <si>
    <t>DF_Almonds500_Cashews500_P2</t>
  </si>
  <si>
    <t>Combo</t>
  </si>
  <si>
    <t>Jan</t>
  </si>
  <si>
    <t>Flipkart</t>
  </si>
  <si>
    <t>Jiomart</t>
  </si>
  <si>
    <t>Blinkit</t>
  </si>
  <si>
    <t>Big Basket</t>
  </si>
  <si>
    <t>ASP</t>
  </si>
  <si>
    <t xml:space="preserve">Discounts </t>
  </si>
  <si>
    <t>Row Labels</t>
  </si>
  <si>
    <t>Grand Total</t>
  </si>
  <si>
    <t>Sum of Qty</t>
  </si>
  <si>
    <t>Sum of MRP Sales</t>
  </si>
  <si>
    <t>Sum of Taxes</t>
  </si>
  <si>
    <t>[Implemented SUMIFS (using pivot table as base) ]</t>
  </si>
  <si>
    <r>
      <t>Total MRP Sales</t>
    </r>
    <r>
      <rPr>
        <sz val="10"/>
        <color rgb="FF0D0D0D"/>
        <rFont val="Segoe UI"/>
        <family val="2"/>
      </rPr>
      <t xml:space="preserve">: </t>
    </r>
  </si>
  <si>
    <t>Sum of ASP</t>
  </si>
  <si>
    <t>Average Selling Price</t>
  </si>
  <si>
    <r>
      <t>Total Quantity Sold</t>
    </r>
    <r>
      <rPr>
        <sz val="10"/>
        <color rgb="FF0D0D0D"/>
        <rFont val="Segoe UI"/>
        <family val="2"/>
      </rPr>
      <t xml:space="preserve">: </t>
    </r>
  </si>
  <si>
    <r>
      <t>Total Discounts</t>
    </r>
    <r>
      <rPr>
        <sz val="10"/>
        <color rgb="FF0D0D0D"/>
        <rFont val="Segoe UI"/>
        <family val="2"/>
      </rPr>
      <t>:</t>
    </r>
  </si>
  <si>
    <r>
      <t>Total Taxes</t>
    </r>
    <r>
      <rPr>
        <sz val="10"/>
        <color rgb="FF0D0D0D"/>
        <rFont val="Segoe UI"/>
        <family val="2"/>
      </rPr>
      <t xml:space="preserve">: </t>
    </r>
  </si>
  <si>
    <t>Sales Report</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</si>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</sst>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6" x14ac:knownFonts="1">
    <font>
      <sz val="11"/>
      <color theme="1"/>
      <name val="Calibri"/>
      <family val="2"/>
      <scheme val="minor"/>
    </font>
    <font>
      <sz val="10"/>
      <color rgb="FF000000"/>
      <name val="Calibri"/>
      <family val="2"/>
      <scheme val="minor"/>
    </font>
    <font>
      <b/>
      <sz val="10"/>
      <color theme="1"/>
      <name val="Calibri"/>
      <family val="2"/>
    </font>
    <font>
      <sz val="10"/>
      <color theme="0"/>
      <name val="Calibri"/>
      <family val="2"/>
      <scheme val="minor"/>
    </font>
    <font>
      <sz val="10"/>
      <color theme="1"/>
      <name val="Calibri"/>
      <family val="2"/>
      <scheme val="minor"/>
    </font>
    <font>
      <sz val="8"/>
      <name val="Calibri"/>
      <family val="2"/>
      <scheme val="minor"/>
    </font>
    <font>
      <b/>
      <sz val="10"/>
      <name val="Calibri"/>
      <family val="2"/>
      <scheme val="minor"/>
    </font>
    <font>
      <b/>
      <sz val="9"/>
      <name val="Calibri"/>
      <family val="2"/>
      <scheme val="minor"/>
    </font>
    <font>
      <b/>
      <sz val="11"/>
      <name val="Calibri"/>
      <family val="2"/>
      <scheme val="minor"/>
    </font>
    <font>
      <b/>
      <sz val="11"/>
      <color theme="1"/>
      <name val="Calibri"/>
      <family val="2"/>
      <scheme val="minor"/>
    </font>
    <font>
      <sz val="12"/>
      <color theme="1"/>
      <name val="Calibri"/>
      <family val="2"/>
      <scheme val="minor"/>
    </font>
    <font>
      <sz val="16"/>
      <color theme="7" tint="0.79998168889431442"/>
      <name val="Calibri"/>
      <family val="2"/>
      <scheme val="minor"/>
    </font>
    <font>
      <sz val="11"/>
      <color rgb="FFFFCC66"/>
      <name val="Calibri"/>
      <family val="2"/>
      <scheme val="minor"/>
    </font>
    <font>
      <sz val="13.75"/>
      <color rgb="FF0D0D0D"/>
      <name val="Segoe UI"/>
      <family val="2"/>
    </font>
    <font>
      <sz val="10"/>
      <color rgb="FF0D0D0D"/>
      <name val="Segoe UI"/>
      <family val="2"/>
    </font>
    <font>
      <sz val="10"/>
      <color rgb="FF0D0D0D"/>
      <name val="Segoe UI"/>
      <family val="2"/>
    </font>
  </fonts>
  <fills count="9">
    <fill>
      <patternFill patternType="none"/>
    </fill>
    <fill>
      <patternFill patternType="gray125"/>
    </fill>
    <fill>
      <patternFill patternType="solid">
        <fgColor theme="0"/>
        <bgColor theme="4"/>
      </patternFill>
    </fill>
    <fill>
      <patternFill patternType="solid">
        <fgColor theme="0"/>
        <bgColor indexed="64"/>
      </patternFill>
    </fill>
    <fill>
      <patternFill patternType="solid">
        <fgColor theme="0"/>
        <bgColor theme="4" tint="0.79998168889431442"/>
      </patternFill>
    </fill>
    <fill>
      <patternFill patternType="solid">
        <fgColor theme="3" tint="0.79998168889431442"/>
        <bgColor indexed="64"/>
      </patternFill>
    </fill>
    <fill>
      <patternFill patternType="solid">
        <fgColor rgb="FFFF0066"/>
        <bgColor indexed="64"/>
      </patternFill>
    </fill>
    <fill>
      <patternFill patternType="solid">
        <fgColor rgb="FF9900FF"/>
        <bgColor indexed="64"/>
      </patternFill>
    </fill>
    <fill>
      <patternFill patternType="solid">
        <fgColor rgb="FFFCE608"/>
        <bgColor indexed="64"/>
      </patternFill>
    </fill>
  </fills>
  <borders count="1">
    <border>
      <left/>
      <right/>
      <top/>
      <bottom/>
      <diagonal/>
    </border>
  </borders>
  <cellStyleXfs count="1">
    <xf numFmtId="0" fontId="0" fillId="0" borderId="0"/>
  </cellStyleXfs>
  <cellXfs count="35">
    <xf numFmtId="0" fontId="0" fillId="0" borderId="0" xfId="0"/>
    <xf numFmtId="0" fontId="8" fillId="2" borderId="0" xfId="0" applyFont="1" applyFill="1"/>
    <xf numFmtId="0" fontId="6" fillId="2" borderId="0" xfId="0" applyFont="1" applyFill="1" applyAlignment="1">
      <alignment vertical="center"/>
    </xf>
    <xf numFmtId="0" fontId="7" fillId="2" borderId="0" xfId="0" applyFont="1" applyFill="1" applyAlignment="1">
      <alignment horizontal="center" vertical="center" wrapText="1"/>
    </xf>
    <xf numFmtId="164" fontId="7" fillId="2" borderId="0" xfId="0" applyNumberFormat="1" applyFont="1" applyFill="1" applyAlignment="1">
      <alignment horizontal="center" vertical="center" wrapText="1"/>
    </xf>
    <xf numFmtId="0" fontId="1" fillId="3" borderId="0" xfId="0" applyFont="1" applyFill="1" applyAlignment="1">
      <alignment vertical="center"/>
    </xf>
    <xf numFmtId="0" fontId="3" fillId="3" borderId="0" xfId="0" applyFont="1" applyFill="1" applyAlignment="1">
      <alignment vertical="center"/>
    </xf>
    <xf numFmtId="0" fontId="4" fillId="3" borderId="0" xfId="0" applyFont="1" applyFill="1" applyAlignment="1">
      <alignment vertical="center"/>
    </xf>
    <xf numFmtId="164" fontId="2" fillId="3" borderId="0" xfId="0" applyNumberFormat="1" applyFont="1" applyFill="1" applyAlignment="1">
      <alignment horizontal="center" vertical="center" wrapText="1"/>
    </xf>
    <xf numFmtId="0" fontId="0" fillId="4" borderId="0" xfId="0" applyFill="1"/>
    <xf numFmtId="0" fontId="0" fillId="4" borderId="0" xfId="0" applyFill="1" applyAlignment="1">
      <alignment wrapText="1"/>
    </xf>
    <xf numFmtId="0" fontId="0" fillId="3" borderId="0" xfId="0" applyFill="1"/>
    <xf numFmtId="0" fontId="0" fillId="3" borderId="0" xfId="0" applyFill="1" applyAlignment="1">
      <alignment wrapText="1"/>
    </xf>
    <xf numFmtId="0" fontId="0" fillId="0" borderId="0" xfId="0" applyNumberFormat="1"/>
    <xf numFmtId="2" fontId="0" fillId="0" borderId="0" xfId="0" applyNumberFormat="1"/>
    <xf numFmtId="1" fontId="0" fillId="0" borderId="0" xfId="0" applyNumberFormat="1"/>
    <xf numFmtId="0" fontId="10" fillId="0" borderId="0" xfId="0" applyFont="1"/>
    <xf numFmtId="0" fontId="0" fillId="0" borderId="0" xfId="0" pivotButton="1"/>
    <xf numFmtId="0" fontId="0" fillId="0" borderId="0" xfId="0" applyAlignment="1">
      <alignment horizontal="left"/>
    </xf>
    <xf numFmtId="0" fontId="9" fillId="0" borderId="0" xfId="0" applyFont="1"/>
    <xf numFmtId="0" fontId="0" fillId="5" borderId="0" xfId="0" applyFill="1"/>
    <xf numFmtId="0" fontId="0" fillId="6" borderId="0" xfId="0" applyFill="1"/>
    <xf numFmtId="0" fontId="0" fillId="7" borderId="0" xfId="0" applyFill="1"/>
    <xf numFmtId="1" fontId="11" fillId="6" borderId="0" xfId="0" applyNumberFormat="1" applyFont="1" applyFill="1"/>
    <xf numFmtId="0" fontId="11" fillId="6" borderId="0" xfId="0" applyFont="1" applyFill="1"/>
    <xf numFmtId="2" fontId="11" fillId="6" borderId="0" xfId="0" applyNumberFormat="1" applyFont="1" applyFill="1"/>
    <xf numFmtId="10" fontId="11" fillId="6" borderId="0" xfId="0" applyNumberFormat="1" applyFont="1" applyFill="1"/>
    <xf numFmtId="0" fontId="12" fillId="8" borderId="0" xfId="0" applyFont="1" applyFill="1"/>
    <xf numFmtId="0" fontId="0" fillId="0" borderId="0" xfId="0" applyAlignment="1">
      <alignment horizontal="left" indent="1"/>
    </xf>
    <xf numFmtId="0" fontId="13" fillId="0" borderId="0" xfId="0" applyFont="1" applyAlignment="1">
      <alignment vertical="center"/>
    </xf>
    <xf numFmtId="0" fontId="0" fillId="0" borderId="0" xfId="0" applyAlignment="1">
      <alignment horizontal="left" vertical="center" indent="1"/>
    </xf>
    <xf numFmtId="0" fontId="15" fillId="0" borderId="0" xfId="0" applyFont="1" applyAlignment="1">
      <alignment horizontal="left" vertical="center" indent="1"/>
    </xf>
    <xf numFmtId="1" fontId="0" fillId="3" borderId="0" xfId="0" applyNumberFormat="1" applyFill="1"/>
    <xf numFmtId="2" fontId="0" fillId="3" borderId="0" xfId="0" applyNumberFormat="1" applyFill="1"/>
    <xf numFmtId="10" fontId="0" fillId="3" borderId="0" xfId="0" applyNumberFormat="1" applyFill="1"/>
  </cellXfs>
  <cellStyles count="1">
    <cellStyle name="Normal" xfId="0" builtinId="0"/>
  </cellStyles>
  <dxfs count="68">
    <dxf>
      <numFmt numFmtId="1" formatCode="0"/>
    </dxf>
    <dxf>
      <numFmt numFmtId="2" formatCode="0.00"/>
    </dxf>
    <dxf>
      <numFmt numFmtId="2" formatCode="0.00"/>
    </dxf>
    <dxf>
      <numFmt numFmtId="1" formatCode="0"/>
    </dxf>
    <dxf>
      <numFmt numFmtId="0" formatCode="General"/>
    </dxf>
    <dxf>
      <numFmt numFmtId="0" formatCode="General"/>
    </dxf>
    <dxf>
      <numFmt numFmtId="0" formatCode="General"/>
    </dxf>
    <dxf>
      <numFmt numFmtId="0" formatCode="General"/>
    </dxf>
    <dxf>
      <font>
        <strike val="0"/>
        <outline val="0"/>
        <shadow val="0"/>
        <u val="none"/>
        <vertAlign val="baseline"/>
        <sz val="12"/>
        <color theme="1"/>
        <name val="Calibri"/>
        <family val="2"/>
        <scheme val="minor"/>
      </font>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alignment horizontal="general" vertical="bottom" textRotation="0" wrapText="1" indent="0" justifyLastLine="0" shrinkToFit="0" readingOrder="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i val="0"/>
        <strike val="0"/>
        <condense val="0"/>
        <extend val="0"/>
        <outline val="0"/>
        <shadow val="0"/>
        <u val="none"/>
        <vertAlign val="baseline"/>
        <sz val="9"/>
        <color auto="1"/>
        <name val="Calibri"/>
        <family val="2"/>
        <scheme val="minor"/>
      </font>
      <fill>
        <patternFill patternType="solid">
          <fgColor theme="4"/>
          <bgColor theme="0"/>
        </patternFill>
      </fill>
      <alignment horizontal="center" vertical="center" textRotation="0" wrapText="1" indent="0" justifyLastLine="0" shrinkToFit="0" readingOrder="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alignment horizontal="general" vertical="bottom" textRotation="0" wrapText="1" indent="0" justifyLastLine="0" shrinkToFit="0" readingOrder="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i val="0"/>
        <strike val="0"/>
        <condense val="0"/>
        <extend val="0"/>
        <outline val="0"/>
        <shadow val="0"/>
        <u val="none"/>
        <vertAlign val="baseline"/>
        <sz val="9"/>
        <color auto="1"/>
        <name val="Calibri"/>
        <family val="2"/>
        <scheme val="minor"/>
      </font>
      <fill>
        <patternFill patternType="solid">
          <fgColor theme="4"/>
          <bgColor theme="0"/>
        </patternFill>
      </fill>
      <alignment horizontal="center" vertical="center" textRotation="0" wrapText="1" indent="0" justifyLastLine="0" shrinkToFit="0" readingOrder="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alignment horizontal="general" vertical="bottom" textRotation="0" wrapText="1" indent="0" justifyLastLine="0" shrinkToFit="0" readingOrder="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i val="0"/>
        <strike val="0"/>
        <condense val="0"/>
        <extend val="0"/>
        <outline val="0"/>
        <shadow val="0"/>
        <u val="none"/>
        <vertAlign val="baseline"/>
        <sz val="9"/>
        <color auto="1"/>
        <name val="Calibri"/>
        <family val="2"/>
        <scheme val="minor"/>
      </font>
      <fill>
        <patternFill patternType="solid">
          <fgColor theme="4"/>
          <bgColor theme="0"/>
        </patternFill>
      </fill>
      <alignment horizontal="center" vertical="center" textRotation="0" wrapText="1" indent="0" justifyLastLine="0" shrinkToFit="0" readingOrder="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theme="4" tint="0.79998168889431442"/>
          <bgColor theme="0"/>
        </patternFill>
      </fill>
      <alignment horizontal="general" vertical="bottom" textRotation="0" wrapText="1" indent="0" justifyLastLine="0" shrinkToFit="0" readingOrder="0"/>
    </dxf>
    <dxf>
      <fill>
        <patternFill patternType="solid">
          <fgColor theme="4" tint="0.79998168889431442"/>
          <bgColor theme="0"/>
        </patternFill>
      </fill>
    </dxf>
    <dxf>
      <fill>
        <patternFill patternType="solid">
          <fgColor theme="4" tint="0.79998168889431442"/>
          <bgColor theme="0"/>
        </patternFill>
      </fill>
    </dxf>
    <dxf>
      <fill>
        <patternFill patternType="solid">
          <fgColor theme="4" tint="0.79998168889431442"/>
          <bgColor theme="0"/>
        </patternFill>
      </fill>
    </dxf>
    <dxf>
      <fill>
        <patternFill patternType="solid">
          <fgColor indexed="64"/>
          <bgColor theme="0"/>
        </patternFill>
      </fill>
    </dxf>
    <dxf>
      <font>
        <b/>
        <i val="0"/>
        <strike val="0"/>
        <condense val="0"/>
        <extend val="0"/>
        <outline val="0"/>
        <shadow val="0"/>
        <u val="none"/>
        <vertAlign val="baseline"/>
        <sz val="9"/>
        <color auto="1"/>
        <name val="Calibri"/>
        <family val="2"/>
        <scheme val="minor"/>
      </font>
      <fill>
        <patternFill patternType="solid">
          <fgColor theme="4"/>
          <bgColor theme="0"/>
        </patternFill>
      </fill>
      <alignment horizontal="center" vertical="center" textRotation="0" wrapText="1" indent="0" justifyLastLine="0" shrinkToFit="0" readingOrder="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alignment horizontal="general" vertical="bottom" textRotation="0" wrapText="1" indent="0" justifyLastLine="0" shrinkToFit="0" readingOrder="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i val="0"/>
        <strike val="0"/>
        <condense val="0"/>
        <extend val="0"/>
        <outline val="0"/>
        <shadow val="0"/>
        <u val="none"/>
        <vertAlign val="baseline"/>
        <sz val="9"/>
        <color auto="1"/>
        <name val="Calibri"/>
        <family val="2"/>
        <scheme val="minor"/>
      </font>
      <fill>
        <patternFill patternType="solid">
          <fgColor theme="4"/>
          <bgColor theme="0"/>
        </patternFill>
      </fill>
      <alignment horizontal="center" vertical="center" textRotation="0" wrapText="1" indent="0" justifyLastLine="0" shrinkToFit="0" readingOrder="0"/>
    </dxf>
    <dxf>
      <font>
        <color rgb="FFFFE608"/>
      </font>
      <fill>
        <patternFill>
          <bgColor rgb="FF7030A0"/>
        </patternFill>
      </fill>
    </dxf>
    <dxf>
      <font>
        <b/>
        <i val="0"/>
        <u val="none"/>
        <color rgb="FF7030A0"/>
        <name val="Calibri Light"/>
        <family val="2"/>
        <scheme val="major"/>
      </font>
      <fill>
        <patternFill>
          <bgColor rgb="FFFFE608"/>
        </patternFill>
      </fill>
    </dxf>
    <dxf>
      <fill>
        <patternFill>
          <bgColor rgb="FF7030A0"/>
        </patternFill>
      </fill>
    </dxf>
    <dxf>
      <fill>
        <patternFill>
          <bgColor rgb="FFFFE608"/>
        </patternFill>
      </fill>
    </dxf>
  </dxfs>
  <tableStyles count="3" defaultTableStyle="TableStyleMedium2" defaultPivotStyle="PivotStyleLight16">
    <tableStyle name="Slicer Style 1" pivot="0" table="0" count="1" xr9:uid="{B647BCD5-045F-4B8E-96AC-940551E7F7CA}">
      <tableStyleElement type="wholeTable" dxfId="67"/>
    </tableStyle>
    <tableStyle name="Slicer Style 2" pivot="0" table="0" count="1" xr9:uid="{D654BFC6-D077-48FC-9153-0B743F70285A}">
      <tableStyleElement type="headerRow" dxfId="66"/>
    </tableStyle>
    <tableStyle name="Slicer Style 3" pivot="0" table="0" count="3" xr9:uid="{3BD5513C-7055-4121-BE64-7B06DD83B6F2}">
      <tableStyleElement type="wholeTable" dxfId="65"/>
      <tableStyleElement type="headerRow" dxfId="64"/>
    </tableStyle>
  </tableStyles>
  <colors>
    <mruColors>
      <color rgb="FFFFE608"/>
      <color rgb="FF9933FF"/>
      <color rgb="FFFCE608"/>
      <color rgb="FFFF3399"/>
      <color rgb="FFFCE91F"/>
      <color rgb="FFFCE414"/>
      <color rgb="FFF7E609"/>
      <color rgb="FFF2E108"/>
      <color rgb="FFF8E920"/>
      <color rgb="FFFAEF62"/>
    </mruColors>
  </colors>
  <extLst>
    <ext xmlns:x14="http://schemas.microsoft.com/office/spreadsheetml/2009/9/main" uri="{46F421CA-312F-682f-3DD2-61675219B42D}">
      <x14:dxfs count="1">
        <dxf>
          <font>
            <color rgb="FFFFE608"/>
          </font>
          <fill>
            <patternFill>
              <bgColor rgb="FF9933FF"/>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(1).xlsx]Pivots!PivotTable1</c:name>
    <c:fmtId val="19"/>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900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Pivots!$B$3</c:f>
              <c:strCache>
                <c:ptCount val="1"/>
                <c:pt idx="0">
                  <c:v>Sum of Qty</c:v>
                </c:pt>
              </c:strCache>
            </c:strRef>
          </c:tx>
          <c:spPr>
            <a:solidFill>
              <a:schemeClr val="accent1"/>
            </a:solidFill>
            <a:ln>
              <a:noFill/>
            </a:ln>
            <a:effectLst/>
            <a:sp3d/>
          </c:spPr>
          <c:invertIfNegative val="0"/>
          <c:cat>
            <c:strRef>
              <c:f>Pivots!$A$4:$A$9</c:f>
              <c:strCache>
                <c:ptCount val="5"/>
                <c:pt idx="0">
                  <c:v>Amazon</c:v>
                </c:pt>
                <c:pt idx="1">
                  <c:v>Big Basket</c:v>
                </c:pt>
                <c:pt idx="2">
                  <c:v>Blinkit</c:v>
                </c:pt>
                <c:pt idx="3">
                  <c:v>Flipkart</c:v>
                </c:pt>
                <c:pt idx="4">
                  <c:v>Jiomart</c:v>
                </c:pt>
              </c:strCache>
            </c:strRef>
          </c:cat>
          <c:val>
            <c:numRef>
              <c:f>Pivots!$B$4:$B$9</c:f>
              <c:numCache>
                <c:formatCode>General</c:formatCode>
                <c:ptCount val="5"/>
                <c:pt idx="0">
                  <c:v>51020</c:v>
                </c:pt>
                <c:pt idx="1">
                  <c:v>1355</c:v>
                </c:pt>
                <c:pt idx="2">
                  <c:v>15526</c:v>
                </c:pt>
                <c:pt idx="3">
                  <c:v>14456</c:v>
                </c:pt>
                <c:pt idx="4">
                  <c:v>188</c:v>
                </c:pt>
              </c:numCache>
            </c:numRef>
          </c:val>
          <c:extLst>
            <c:ext xmlns:c16="http://schemas.microsoft.com/office/drawing/2014/chart" uri="{C3380CC4-5D6E-409C-BE32-E72D297353CC}">
              <c16:uniqueId val="{00000000-3847-4424-BD96-1A6C2D40C033}"/>
            </c:ext>
          </c:extLst>
        </c:ser>
        <c:ser>
          <c:idx val="1"/>
          <c:order val="1"/>
          <c:tx>
            <c:strRef>
              <c:f>Pivots!$C$3</c:f>
              <c:strCache>
                <c:ptCount val="1"/>
                <c:pt idx="0">
                  <c:v>Sum of MRP Sales</c:v>
                </c:pt>
              </c:strCache>
            </c:strRef>
          </c:tx>
          <c:spPr>
            <a:solidFill>
              <a:srgbClr val="9900FF"/>
            </a:solidFill>
            <a:ln>
              <a:noFill/>
            </a:ln>
            <a:effectLst/>
            <a:sp3d/>
          </c:spPr>
          <c:invertIfNegative val="0"/>
          <c:cat>
            <c:strRef>
              <c:f>Pivots!$A$4:$A$9</c:f>
              <c:strCache>
                <c:ptCount val="5"/>
                <c:pt idx="0">
                  <c:v>Amazon</c:v>
                </c:pt>
                <c:pt idx="1">
                  <c:v>Big Basket</c:v>
                </c:pt>
                <c:pt idx="2">
                  <c:v>Blinkit</c:v>
                </c:pt>
                <c:pt idx="3">
                  <c:v>Flipkart</c:v>
                </c:pt>
                <c:pt idx="4">
                  <c:v>Jiomart</c:v>
                </c:pt>
              </c:strCache>
            </c:strRef>
          </c:cat>
          <c:val>
            <c:numRef>
              <c:f>Pivots!$C$4:$C$9</c:f>
              <c:numCache>
                <c:formatCode>General</c:formatCode>
                <c:ptCount val="5"/>
                <c:pt idx="0">
                  <c:v>45752900</c:v>
                </c:pt>
                <c:pt idx="1">
                  <c:v>501645</c:v>
                </c:pt>
                <c:pt idx="2">
                  <c:v>4997594</c:v>
                </c:pt>
                <c:pt idx="3">
                  <c:v>6797172</c:v>
                </c:pt>
                <c:pt idx="4">
                  <c:v>105174</c:v>
                </c:pt>
              </c:numCache>
            </c:numRef>
          </c:val>
          <c:extLst>
            <c:ext xmlns:c16="http://schemas.microsoft.com/office/drawing/2014/chart" uri="{C3380CC4-5D6E-409C-BE32-E72D297353CC}">
              <c16:uniqueId val="{00000001-3847-4424-BD96-1A6C2D40C033}"/>
            </c:ext>
          </c:extLst>
        </c:ser>
        <c:ser>
          <c:idx val="2"/>
          <c:order val="2"/>
          <c:tx>
            <c:strRef>
              <c:f>Pivots!$D$3</c:f>
              <c:strCache>
                <c:ptCount val="1"/>
                <c:pt idx="0">
                  <c:v>Sum of Taxes</c:v>
                </c:pt>
              </c:strCache>
            </c:strRef>
          </c:tx>
          <c:spPr>
            <a:solidFill>
              <a:schemeClr val="accent3"/>
            </a:solidFill>
            <a:ln>
              <a:noFill/>
            </a:ln>
            <a:effectLst/>
            <a:sp3d/>
          </c:spPr>
          <c:invertIfNegative val="0"/>
          <c:cat>
            <c:strRef>
              <c:f>Pivots!$A$4:$A$9</c:f>
              <c:strCache>
                <c:ptCount val="5"/>
                <c:pt idx="0">
                  <c:v>Amazon</c:v>
                </c:pt>
                <c:pt idx="1">
                  <c:v>Big Basket</c:v>
                </c:pt>
                <c:pt idx="2">
                  <c:v>Blinkit</c:v>
                </c:pt>
                <c:pt idx="3">
                  <c:v>Flipkart</c:v>
                </c:pt>
                <c:pt idx="4">
                  <c:v>Jiomart</c:v>
                </c:pt>
              </c:strCache>
            </c:strRef>
          </c:cat>
          <c:val>
            <c:numRef>
              <c:f>Pivots!$D$4:$D$9</c:f>
              <c:numCache>
                <c:formatCode>General</c:formatCode>
                <c:ptCount val="5"/>
                <c:pt idx="0">
                  <c:v>1684502.9306618257</c:v>
                </c:pt>
                <c:pt idx="1">
                  <c:v>46489.131696428616</c:v>
                </c:pt>
                <c:pt idx="2">
                  <c:v>273245.32500000019</c:v>
                </c:pt>
                <c:pt idx="3">
                  <c:v>187629.55609362404</c:v>
                </c:pt>
                <c:pt idx="4">
                  <c:v>3917.4523809523839</c:v>
                </c:pt>
              </c:numCache>
            </c:numRef>
          </c:val>
          <c:extLst>
            <c:ext xmlns:c16="http://schemas.microsoft.com/office/drawing/2014/chart" uri="{C3380CC4-5D6E-409C-BE32-E72D297353CC}">
              <c16:uniqueId val="{00000002-3847-4424-BD96-1A6C2D40C033}"/>
            </c:ext>
          </c:extLst>
        </c:ser>
        <c:dLbls>
          <c:showLegendKey val="0"/>
          <c:showVal val="0"/>
          <c:showCatName val="0"/>
          <c:showSerName val="0"/>
          <c:showPercent val="0"/>
          <c:showBubbleSize val="0"/>
        </c:dLbls>
        <c:gapWidth val="150"/>
        <c:shape val="box"/>
        <c:axId val="183997712"/>
        <c:axId val="184001040"/>
        <c:axId val="0"/>
      </c:bar3DChart>
      <c:catAx>
        <c:axId val="1839977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01040"/>
        <c:crosses val="autoZero"/>
        <c:auto val="1"/>
        <c:lblAlgn val="ctr"/>
        <c:lblOffset val="100"/>
        <c:noMultiLvlLbl val="0"/>
      </c:catAx>
      <c:valAx>
        <c:axId val="1840010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9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(1).xlsx]Pivots!PivotTable3</c:name>
    <c:fmtId val="56"/>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Pivots!$B$43</c:f>
              <c:strCache>
                <c:ptCount val="1"/>
                <c:pt idx="0">
                  <c:v>Total</c:v>
                </c:pt>
              </c:strCache>
            </c:strRef>
          </c:tx>
          <c:spPr>
            <a:solidFill>
              <a:schemeClr val="accent1"/>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Pivots!$A$44:$A$49</c:f>
              <c:strCache>
                <c:ptCount val="5"/>
                <c:pt idx="0">
                  <c:v>Cashews</c:v>
                </c:pt>
                <c:pt idx="1">
                  <c:v>Almonds</c:v>
                </c:pt>
                <c:pt idx="2">
                  <c:v>Green Raisins</c:v>
                </c:pt>
                <c:pt idx="3">
                  <c:v>Black Raisins</c:v>
                </c:pt>
                <c:pt idx="4">
                  <c:v>Combo</c:v>
                </c:pt>
              </c:strCache>
            </c:strRef>
          </c:cat>
          <c:val>
            <c:numRef>
              <c:f>Pivots!$B$44:$B$49</c:f>
              <c:numCache>
                <c:formatCode>General</c:formatCode>
                <c:ptCount val="5"/>
                <c:pt idx="0">
                  <c:v>30666620</c:v>
                </c:pt>
                <c:pt idx="1">
                  <c:v>14847489</c:v>
                </c:pt>
                <c:pt idx="2">
                  <c:v>7923585</c:v>
                </c:pt>
                <c:pt idx="3">
                  <c:v>3551191</c:v>
                </c:pt>
                <c:pt idx="4">
                  <c:v>1165600</c:v>
                </c:pt>
              </c:numCache>
            </c:numRef>
          </c:val>
          <c:extLst>
            <c:ext xmlns:c16="http://schemas.microsoft.com/office/drawing/2014/chart" uri="{C3380CC4-5D6E-409C-BE32-E72D297353CC}">
              <c16:uniqueId val="{00000000-2DEB-49B8-847E-BE4A420DD8C1}"/>
            </c:ext>
          </c:extLst>
        </c:ser>
        <c:dLbls>
          <c:showLegendKey val="0"/>
          <c:showVal val="1"/>
          <c:showCatName val="0"/>
          <c:showSerName val="0"/>
          <c:showPercent val="0"/>
          <c:showBubbleSize val="0"/>
        </c:dLbls>
        <c:axId val="1749157344"/>
        <c:axId val="1749162752"/>
        <c:axId val="0"/>
      </c:area3DChart>
      <c:catAx>
        <c:axId val="1749157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162752"/>
        <c:crosses val="autoZero"/>
        <c:auto val="1"/>
        <c:lblAlgn val="ctr"/>
        <c:lblOffset val="100"/>
        <c:noMultiLvlLbl val="0"/>
      </c:catAx>
      <c:valAx>
        <c:axId val="1749162752"/>
        <c:scaling>
          <c:orientation val="minMax"/>
        </c:scaling>
        <c:delete val="1"/>
        <c:axPos val="l"/>
        <c:numFmt formatCode="General" sourceLinked="1"/>
        <c:majorTickMark val="none"/>
        <c:minorTickMark val="none"/>
        <c:tickLblPos val="nextTo"/>
        <c:crossAx val="174915734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(1).xlsx]Pivots!PivotTable3</c:name>
    <c:fmtId val="6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7030A0"/>
                </a:solidFill>
              </a:rPr>
              <a:t>Top Selling Categories</a:t>
            </a:r>
          </a:p>
        </c:rich>
      </c:tx>
      <c:layout>
        <c:manualLayout>
          <c:xMode val="edge"/>
          <c:yMode val="edge"/>
          <c:x val="0.24015414588602921"/>
          <c:y val="5.79508692491662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900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FF3399"/>
                    </a:solidFill>
                  </a:ln>
                  <a:solidFill>
                    <a:srgbClr val="FF339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900FF"/>
          </a:solidFill>
          <a:ln>
            <a:noFill/>
          </a:ln>
          <a:effectLst/>
          <a:sp3d/>
        </c:spPr>
      </c:pivotFmt>
      <c:pivotFmt>
        <c:idx val="4"/>
        <c:spPr>
          <a:solidFill>
            <a:srgbClr val="9900FF"/>
          </a:solidFill>
          <a:ln>
            <a:noFill/>
          </a:ln>
          <a:effectLst/>
          <a:sp3d/>
        </c:spPr>
      </c:pivotFmt>
      <c:pivotFmt>
        <c:idx val="5"/>
        <c:spPr>
          <a:solidFill>
            <a:srgbClr val="9900FF"/>
          </a:solidFill>
          <a:ln>
            <a:noFill/>
          </a:ln>
          <a:effectLst/>
          <a:sp3d/>
        </c:spPr>
      </c:pivotFmt>
      <c:pivotFmt>
        <c:idx val="6"/>
        <c:spPr>
          <a:solidFill>
            <a:srgbClr val="9900FF"/>
          </a:solidFill>
          <a:ln>
            <a:noFill/>
          </a:ln>
          <a:effectLst/>
          <a:sp3d/>
        </c:spPr>
      </c:pivotFmt>
      <c:pivotFmt>
        <c:idx val="7"/>
        <c:dLbl>
          <c:idx val="0"/>
          <c:layout>
            <c:manualLayout>
              <c:x val="-3.024803387779797E-2"/>
              <c:y val="0.2478134110787171"/>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900FF"/>
          </a:solidFill>
          <a:ln>
            <a:noFill/>
          </a:ln>
          <a:effectLst/>
          <a:sp3d/>
        </c:spPr>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Pivots!$B$43</c:f>
              <c:strCache>
                <c:ptCount val="1"/>
                <c:pt idx="0">
                  <c:v>Total</c:v>
                </c:pt>
              </c:strCache>
            </c:strRef>
          </c:tx>
          <c:spPr>
            <a:solidFill>
              <a:srgbClr val="9900FF"/>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FF3399"/>
                      </a:solidFill>
                    </a:ln>
                    <a:solidFill>
                      <a:srgbClr val="FF3399"/>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Pivots!$A$44:$A$49</c:f>
              <c:strCache>
                <c:ptCount val="5"/>
                <c:pt idx="0">
                  <c:v>Cashews</c:v>
                </c:pt>
                <c:pt idx="1">
                  <c:v>Almonds</c:v>
                </c:pt>
                <c:pt idx="2">
                  <c:v>Green Raisins</c:v>
                </c:pt>
                <c:pt idx="3">
                  <c:v>Black Raisins</c:v>
                </c:pt>
                <c:pt idx="4">
                  <c:v>Combo</c:v>
                </c:pt>
              </c:strCache>
            </c:strRef>
          </c:cat>
          <c:val>
            <c:numRef>
              <c:f>Pivots!$B$44:$B$49</c:f>
              <c:numCache>
                <c:formatCode>General</c:formatCode>
                <c:ptCount val="5"/>
                <c:pt idx="0">
                  <c:v>30666620</c:v>
                </c:pt>
                <c:pt idx="1">
                  <c:v>14847489</c:v>
                </c:pt>
                <c:pt idx="2">
                  <c:v>7923585</c:v>
                </c:pt>
                <c:pt idx="3">
                  <c:v>3551191</c:v>
                </c:pt>
                <c:pt idx="4">
                  <c:v>1165600</c:v>
                </c:pt>
              </c:numCache>
            </c:numRef>
          </c:val>
          <c:extLst>
            <c:ext xmlns:c16="http://schemas.microsoft.com/office/drawing/2014/chart" uri="{C3380CC4-5D6E-409C-BE32-E72D297353CC}">
              <c16:uniqueId val="{00000000-70CF-4305-B3E5-CB74F6F94B9C}"/>
            </c:ext>
          </c:extLst>
        </c:ser>
        <c:dLbls>
          <c:showLegendKey val="0"/>
          <c:showVal val="1"/>
          <c:showCatName val="0"/>
          <c:showSerName val="0"/>
          <c:showPercent val="0"/>
          <c:showBubbleSize val="0"/>
        </c:dLbls>
        <c:axId val="1749157344"/>
        <c:axId val="1749162752"/>
        <c:axId val="0"/>
      </c:area3DChart>
      <c:catAx>
        <c:axId val="1749157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162752"/>
        <c:crosses val="autoZero"/>
        <c:auto val="1"/>
        <c:lblAlgn val="ctr"/>
        <c:lblOffset val="100"/>
        <c:noMultiLvlLbl val="0"/>
      </c:catAx>
      <c:valAx>
        <c:axId val="1749162752"/>
        <c:scaling>
          <c:orientation val="minMax"/>
        </c:scaling>
        <c:delete val="1"/>
        <c:axPos val="l"/>
        <c:numFmt formatCode="General" sourceLinked="1"/>
        <c:majorTickMark val="none"/>
        <c:minorTickMark val="none"/>
        <c:tickLblPos val="nextTo"/>
        <c:crossAx val="174915734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(1).xlsx]Pivots!PivotTable1</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rgbClr val="7030A0"/>
                </a:solidFill>
              </a:rPr>
              <a:t>Total Sales </a:t>
            </a:r>
            <a:r>
              <a:rPr lang="en-IN" sz="1400" b="1" i="0" u="none" strike="noStrike" baseline="0">
                <a:solidFill>
                  <a:srgbClr val="7030A0"/>
                </a:solidFill>
                <a:effectLst/>
              </a:rPr>
              <a:t>at channel and SKU levels</a:t>
            </a:r>
            <a:endParaRPr lang="en-IN" sz="1400" b="1">
              <a:solidFill>
                <a:srgbClr val="7030A0"/>
              </a:solidFill>
            </a:endParaRPr>
          </a:p>
        </c:rich>
      </c:tx>
      <c:layout>
        <c:manualLayout>
          <c:xMode val="edge"/>
          <c:yMode val="edge"/>
          <c:x val="0.2510318803607493"/>
          <c:y val="6.51465798045602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900FF"/>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900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900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Pivots!$B$3</c:f>
              <c:strCache>
                <c:ptCount val="1"/>
                <c:pt idx="0">
                  <c:v>Sum of Qty</c:v>
                </c:pt>
              </c:strCache>
            </c:strRef>
          </c:tx>
          <c:spPr>
            <a:solidFill>
              <a:schemeClr val="accent1"/>
            </a:solidFill>
            <a:ln>
              <a:noFill/>
            </a:ln>
            <a:effectLst/>
            <a:sp3d/>
          </c:spPr>
          <c:invertIfNegative val="0"/>
          <c:cat>
            <c:strRef>
              <c:f>Pivots!$A$4:$A$9</c:f>
              <c:strCache>
                <c:ptCount val="5"/>
                <c:pt idx="0">
                  <c:v>Amazon</c:v>
                </c:pt>
                <c:pt idx="1">
                  <c:v>Big Basket</c:v>
                </c:pt>
                <c:pt idx="2">
                  <c:v>Blinkit</c:v>
                </c:pt>
                <c:pt idx="3">
                  <c:v>Flipkart</c:v>
                </c:pt>
                <c:pt idx="4">
                  <c:v>Jiomart</c:v>
                </c:pt>
              </c:strCache>
            </c:strRef>
          </c:cat>
          <c:val>
            <c:numRef>
              <c:f>Pivots!$B$4:$B$9</c:f>
              <c:numCache>
                <c:formatCode>General</c:formatCode>
                <c:ptCount val="5"/>
                <c:pt idx="0">
                  <c:v>51020</c:v>
                </c:pt>
                <c:pt idx="1">
                  <c:v>1355</c:v>
                </c:pt>
                <c:pt idx="2">
                  <c:v>15526</c:v>
                </c:pt>
                <c:pt idx="3">
                  <c:v>14456</c:v>
                </c:pt>
                <c:pt idx="4">
                  <c:v>188</c:v>
                </c:pt>
              </c:numCache>
            </c:numRef>
          </c:val>
          <c:extLst>
            <c:ext xmlns:c16="http://schemas.microsoft.com/office/drawing/2014/chart" uri="{C3380CC4-5D6E-409C-BE32-E72D297353CC}">
              <c16:uniqueId val="{00000000-6CCB-4C07-A238-3D7F01CA977D}"/>
            </c:ext>
          </c:extLst>
        </c:ser>
        <c:ser>
          <c:idx val="1"/>
          <c:order val="1"/>
          <c:tx>
            <c:strRef>
              <c:f>Pivots!$C$3</c:f>
              <c:strCache>
                <c:ptCount val="1"/>
                <c:pt idx="0">
                  <c:v>Sum of MRP Sales</c:v>
                </c:pt>
              </c:strCache>
            </c:strRef>
          </c:tx>
          <c:spPr>
            <a:solidFill>
              <a:srgbClr val="9900FF"/>
            </a:solidFill>
            <a:ln>
              <a:noFill/>
            </a:ln>
            <a:effectLst/>
            <a:sp3d/>
          </c:spPr>
          <c:invertIfNegative val="0"/>
          <c:cat>
            <c:strRef>
              <c:f>Pivots!$A$4:$A$9</c:f>
              <c:strCache>
                <c:ptCount val="5"/>
                <c:pt idx="0">
                  <c:v>Amazon</c:v>
                </c:pt>
                <c:pt idx="1">
                  <c:v>Big Basket</c:v>
                </c:pt>
                <c:pt idx="2">
                  <c:v>Blinkit</c:v>
                </c:pt>
                <c:pt idx="3">
                  <c:v>Flipkart</c:v>
                </c:pt>
                <c:pt idx="4">
                  <c:v>Jiomart</c:v>
                </c:pt>
              </c:strCache>
            </c:strRef>
          </c:cat>
          <c:val>
            <c:numRef>
              <c:f>Pivots!$C$4:$C$9</c:f>
              <c:numCache>
                <c:formatCode>General</c:formatCode>
                <c:ptCount val="5"/>
                <c:pt idx="0">
                  <c:v>45752900</c:v>
                </c:pt>
                <c:pt idx="1">
                  <c:v>501645</c:v>
                </c:pt>
                <c:pt idx="2">
                  <c:v>4997594</c:v>
                </c:pt>
                <c:pt idx="3">
                  <c:v>6797172</c:v>
                </c:pt>
                <c:pt idx="4">
                  <c:v>105174</c:v>
                </c:pt>
              </c:numCache>
            </c:numRef>
          </c:val>
          <c:extLst>
            <c:ext xmlns:c16="http://schemas.microsoft.com/office/drawing/2014/chart" uri="{C3380CC4-5D6E-409C-BE32-E72D297353CC}">
              <c16:uniqueId val="{00000001-6CCB-4C07-A238-3D7F01CA977D}"/>
            </c:ext>
          </c:extLst>
        </c:ser>
        <c:ser>
          <c:idx val="2"/>
          <c:order val="2"/>
          <c:tx>
            <c:strRef>
              <c:f>Pivots!$D$3</c:f>
              <c:strCache>
                <c:ptCount val="1"/>
                <c:pt idx="0">
                  <c:v>Sum of Taxes</c:v>
                </c:pt>
              </c:strCache>
            </c:strRef>
          </c:tx>
          <c:spPr>
            <a:solidFill>
              <a:schemeClr val="accent3"/>
            </a:solidFill>
            <a:ln>
              <a:noFill/>
            </a:ln>
            <a:effectLst/>
            <a:sp3d/>
          </c:spPr>
          <c:invertIfNegative val="0"/>
          <c:cat>
            <c:strRef>
              <c:f>Pivots!$A$4:$A$9</c:f>
              <c:strCache>
                <c:ptCount val="5"/>
                <c:pt idx="0">
                  <c:v>Amazon</c:v>
                </c:pt>
                <c:pt idx="1">
                  <c:v>Big Basket</c:v>
                </c:pt>
                <c:pt idx="2">
                  <c:v>Blinkit</c:v>
                </c:pt>
                <c:pt idx="3">
                  <c:v>Flipkart</c:v>
                </c:pt>
                <c:pt idx="4">
                  <c:v>Jiomart</c:v>
                </c:pt>
              </c:strCache>
            </c:strRef>
          </c:cat>
          <c:val>
            <c:numRef>
              <c:f>Pivots!$D$4:$D$9</c:f>
              <c:numCache>
                <c:formatCode>General</c:formatCode>
                <c:ptCount val="5"/>
                <c:pt idx="0">
                  <c:v>1684502.9306618257</c:v>
                </c:pt>
                <c:pt idx="1">
                  <c:v>46489.131696428616</c:v>
                </c:pt>
                <c:pt idx="2">
                  <c:v>273245.32500000019</c:v>
                </c:pt>
                <c:pt idx="3">
                  <c:v>187629.55609362404</c:v>
                </c:pt>
                <c:pt idx="4">
                  <c:v>3917.4523809523839</c:v>
                </c:pt>
              </c:numCache>
            </c:numRef>
          </c:val>
          <c:extLst>
            <c:ext xmlns:c16="http://schemas.microsoft.com/office/drawing/2014/chart" uri="{C3380CC4-5D6E-409C-BE32-E72D297353CC}">
              <c16:uniqueId val="{00000002-6CCB-4C07-A238-3D7F01CA977D}"/>
            </c:ext>
          </c:extLst>
        </c:ser>
        <c:dLbls>
          <c:showLegendKey val="0"/>
          <c:showVal val="0"/>
          <c:showCatName val="0"/>
          <c:showSerName val="0"/>
          <c:showPercent val="0"/>
          <c:showBubbleSize val="0"/>
        </c:dLbls>
        <c:gapWidth val="150"/>
        <c:shape val="box"/>
        <c:axId val="183997712"/>
        <c:axId val="184001040"/>
        <c:axId val="0"/>
      </c:bar3DChart>
      <c:catAx>
        <c:axId val="1839977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01040"/>
        <c:crosses val="autoZero"/>
        <c:auto val="1"/>
        <c:lblAlgn val="ctr"/>
        <c:lblOffset val="100"/>
        <c:noMultiLvlLbl val="0"/>
      </c:catAx>
      <c:valAx>
        <c:axId val="1840010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97712"/>
        <c:crosses val="autoZero"/>
        <c:crossBetween val="between"/>
      </c:valAx>
      <c:spPr>
        <a:noFill/>
        <a:ln>
          <a:noFill/>
        </a:ln>
        <a:effectLst/>
      </c:spPr>
    </c:plotArea>
    <c:legend>
      <c:legendPos val="r"/>
      <c:layout>
        <c:manualLayout>
          <c:xMode val="edge"/>
          <c:yMode val="edge"/>
          <c:x val="0.68775459726412713"/>
          <c:y val="0.45198075810556254"/>
          <c:w val="0.21099929681686985"/>
          <c:h val="0.1832260381133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image" Target="../media/image1.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4</xdr:col>
      <xdr:colOff>160020</xdr:colOff>
      <xdr:row>2</xdr:row>
      <xdr:rowOff>41910</xdr:rowOff>
    </xdr:from>
    <xdr:to>
      <xdr:col>17</xdr:col>
      <xdr:colOff>205740</xdr:colOff>
      <xdr:row>21</xdr:row>
      <xdr:rowOff>76200</xdr:rowOff>
    </xdr:to>
    <xdr:graphicFrame macro="">
      <xdr:nvGraphicFramePr>
        <xdr:cNvPr id="2" name="Chart 1">
          <a:extLst>
            <a:ext uri="{FF2B5EF4-FFF2-40B4-BE49-F238E27FC236}">
              <a16:creationId xmlns:a16="http://schemas.microsoft.com/office/drawing/2014/main" id="{2F590F20-F794-4DBC-91A2-5AE93CED57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571500</xdr:colOff>
      <xdr:row>42</xdr:row>
      <xdr:rowOff>49530</xdr:rowOff>
    </xdr:from>
    <xdr:to>
      <xdr:col>12</xdr:col>
      <xdr:colOff>266700</xdr:colOff>
      <xdr:row>57</xdr:row>
      <xdr:rowOff>49530</xdr:rowOff>
    </xdr:to>
    <xdr:graphicFrame macro="">
      <xdr:nvGraphicFramePr>
        <xdr:cNvPr id="3" name="Chart 2">
          <a:extLst>
            <a:ext uri="{FF2B5EF4-FFF2-40B4-BE49-F238E27FC236}">
              <a16:creationId xmlns:a16="http://schemas.microsoft.com/office/drawing/2014/main" id="{1AFB30C1-092D-4EAB-920B-E1052DEE83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251460</xdr:colOff>
      <xdr:row>11</xdr:row>
      <xdr:rowOff>0</xdr:rowOff>
    </xdr:from>
    <xdr:to>
      <xdr:col>12</xdr:col>
      <xdr:colOff>449580</xdr:colOff>
      <xdr:row>49</xdr:row>
      <xdr:rowOff>160020</xdr:rowOff>
    </xdr:to>
    <xdr:sp macro="" textlink="">
      <xdr:nvSpPr>
        <xdr:cNvPr id="2" name="TextBox 1">
          <a:extLst>
            <a:ext uri="{FF2B5EF4-FFF2-40B4-BE49-F238E27FC236}">
              <a16:creationId xmlns:a16="http://schemas.microsoft.com/office/drawing/2014/main" id="{F978CB2F-7C21-4C7C-9C8B-642F95047CEC}"/>
            </a:ext>
          </a:extLst>
        </xdr:cNvPr>
        <xdr:cNvSpPr txBox="1"/>
      </xdr:nvSpPr>
      <xdr:spPr>
        <a:xfrm>
          <a:off x="251460" y="2133600"/>
          <a:ext cx="9067800" cy="7109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lang="en-IN" sz="1200" b="1" i="0">
            <a:solidFill>
              <a:schemeClr val="dk1"/>
            </a:solidFill>
            <a:effectLst/>
            <a:latin typeface="+mn-lt"/>
            <a:ea typeface="+mn-ea"/>
            <a:cs typeface="+mn-cs"/>
          </a:endParaRPr>
        </a:p>
        <a:p>
          <a:r>
            <a:rPr lang="en-IN" sz="1400" b="1" i="0">
              <a:solidFill>
                <a:schemeClr val="dk1"/>
              </a:solidFill>
              <a:effectLst/>
              <a:latin typeface="+mn-lt"/>
              <a:ea typeface="+mn-ea"/>
              <a:cs typeface="+mn-cs"/>
            </a:rPr>
            <a:t>Sales Performance Analysis:</a:t>
          </a:r>
          <a:endParaRPr lang="en-IN" sz="1400" b="0" i="0">
            <a:solidFill>
              <a:schemeClr val="dk1"/>
            </a:solidFill>
            <a:effectLst/>
            <a:latin typeface="+mn-lt"/>
            <a:ea typeface="+mn-ea"/>
            <a:cs typeface="+mn-cs"/>
          </a:endParaRPr>
        </a:p>
        <a:p>
          <a:r>
            <a:rPr lang="en-IN" sz="1400" b="1" i="0">
              <a:solidFill>
                <a:schemeClr val="dk1"/>
              </a:solidFill>
              <a:effectLst/>
              <a:latin typeface="+mn-lt"/>
              <a:ea typeface="+mn-ea"/>
              <a:cs typeface="+mn-cs"/>
            </a:rPr>
            <a:t>Top-Selling Products:</a:t>
          </a:r>
          <a:endParaRPr lang="en-IN" sz="1400" b="0" i="0">
            <a:solidFill>
              <a:schemeClr val="dk1"/>
            </a:solidFill>
            <a:effectLst/>
            <a:latin typeface="+mn-lt"/>
            <a:ea typeface="+mn-ea"/>
            <a:cs typeface="+mn-cs"/>
          </a:endParaRPr>
        </a:p>
        <a:p>
          <a:pPr lvl="1"/>
          <a:r>
            <a:rPr lang="en-IN" sz="1400" b="1" i="0">
              <a:solidFill>
                <a:schemeClr val="dk1"/>
              </a:solidFill>
              <a:effectLst/>
              <a:latin typeface="+mn-lt"/>
              <a:ea typeface="+mn-ea"/>
              <a:cs typeface="+mn-cs"/>
            </a:rPr>
            <a:t>Cashews:</a:t>
          </a:r>
          <a:r>
            <a:rPr lang="en-IN" sz="1400" b="0" i="0">
              <a:solidFill>
                <a:schemeClr val="dk1"/>
              </a:solidFill>
              <a:effectLst/>
              <a:latin typeface="+mn-lt"/>
              <a:ea typeface="+mn-ea"/>
              <a:cs typeface="+mn-cs"/>
            </a:rPr>
            <a:t> ₹30,666,620</a:t>
          </a:r>
        </a:p>
        <a:p>
          <a:pPr lvl="1"/>
          <a:r>
            <a:rPr lang="en-IN" sz="1400" b="1" i="0">
              <a:solidFill>
                <a:schemeClr val="dk1"/>
              </a:solidFill>
              <a:effectLst/>
              <a:latin typeface="+mn-lt"/>
              <a:ea typeface="+mn-ea"/>
              <a:cs typeface="+mn-cs"/>
            </a:rPr>
            <a:t>Almonds:</a:t>
          </a:r>
          <a:r>
            <a:rPr lang="en-IN" sz="1400" b="0" i="0">
              <a:solidFill>
                <a:schemeClr val="dk1"/>
              </a:solidFill>
              <a:effectLst/>
              <a:latin typeface="+mn-lt"/>
              <a:ea typeface="+mn-ea"/>
              <a:cs typeface="+mn-cs"/>
            </a:rPr>
            <a:t> ₹14,847,489</a:t>
          </a:r>
        </a:p>
        <a:p>
          <a:pPr lvl="1"/>
          <a:r>
            <a:rPr lang="en-IN" sz="1400" b="1" i="0">
              <a:solidFill>
                <a:schemeClr val="dk1"/>
              </a:solidFill>
              <a:effectLst/>
              <a:latin typeface="+mn-lt"/>
              <a:ea typeface="+mn-ea"/>
              <a:cs typeface="+mn-cs"/>
            </a:rPr>
            <a:t>Raisins (Green and Black):</a:t>
          </a:r>
          <a:r>
            <a:rPr lang="en-IN" sz="1400" b="0" i="0">
              <a:solidFill>
                <a:schemeClr val="dk1"/>
              </a:solidFill>
              <a:effectLst/>
              <a:latin typeface="+mn-lt"/>
              <a:ea typeface="+mn-ea"/>
              <a:cs typeface="+mn-cs"/>
            </a:rPr>
            <a:t> ₹7,923,585 and ₹3,551,191 respectively</a:t>
          </a:r>
        </a:p>
        <a:p>
          <a:pPr lvl="1"/>
          <a:r>
            <a:rPr lang="en-IN" sz="1400" b="1" i="0">
              <a:solidFill>
                <a:schemeClr val="dk1"/>
              </a:solidFill>
              <a:effectLst/>
              <a:latin typeface="+mn-lt"/>
              <a:ea typeface="+mn-ea"/>
              <a:cs typeface="+mn-cs"/>
            </a:rPr>
            <a:t>Combo Products:</a:t>
          </a:r>
          <a:r>
            <a:rPr lang="en-IN" sz="1400" b="0" i="0">
              <a:solidFill>
                <a:schemeClr val="dk1"/>
              </a:solidFill>
              <a:effectLst/>
              <a:latin typeface="+mn-lt"/>
              <a:ea typeface="+mn-ea"/>
              <a:cs typeface="+mn-cs"/>
            </a:rPr>
            <a:t> ₹1,165,600</a:t>
          </a:r>
        </a:p>
        <a:p>
          <a:pPr lvl="1"/>
          <a:endParaRPr lang="en-IN" sz="1400" b="0" i="0">
            <a:solidFill>
              <a:schemeClr val="dk1"/>
            </a:solidFill>
            <a:effectLst/>
            <a:latin typeface="+mn-lt"/>
            <a:ea typeface="+mn-ea"/>
            <a:cs typeface="+mn-cs"/>
          </a:endParaRPr>
        </a:p>
        <a:p>
          <a:pPr lvl="1"/>
          <a:endParaRPr lang="en-IN" sz="1400" b="0" i="0">
            <a:solidFill>
              <a:schemeClr val="dk1"/>
            </a:solidFill>
            <a:effectLst/>
            <a:latin typeface="+mn-lt"/>
            <a:ea typeface="+mn-ea"/>
            <a:cs typeface="+mn-cs"/>
          </a:endParaRPr>
        </a:p>
        <a:p>
          <a:r>
            <a:rPr lang="en-IN" sz="1400" b="1" i="0">
              <a:solidFill>
                <a:schemeClr val="dk1"/>
              </a:solidFill>
              <a:effectLst/>
              <a:latin typeface="+mn-lt"/>
              <a:ea typeface="+mn-ea"/>
              <a:cs typeface="+mn-cs"/>
            </a:rPr>
            <a:t>Channel Performance:</a:t>
          </a:r>
          <a:endParaRPr lang="en-IN" sz="1400" b="0" i="0">
            <a:solidFill>
              <a:schemeClr val="dk1"/>
            </a:solidFill>
            <a:effectLst/>
            <a:latin typeface="+mn-lt"/>
            <a:ea typeface="+mn-ea"/>
            <a:cs typeface="+mn-cs"/>
          </a:endParaRPr>
        </a:p>
        <a:p>
          <a:pPr lvl="1"/>
          <a:r>
            <a:rPr lang="en-IN" sz="1400" b="1" i="0">
              <a:solidFill>
                <a:schemeClr val="dk1"/>
              </a:solidFill>
              <a:effectLst/>
              <a:latin typeface="+mn-lt"/>
              <a:ea typeface="+mn-ea"/>
              <a:cs typeface="+mn-cs"/>
            </a:rPr>
            <a:t>Amazon:</a:t>
          </a:r>
          <a:r>
            <a:rPr lang="en-IN" sz="1400" b="0" i="0">
              <a:solidFill>
                <a:schemeClr val="dk1"/>
              </a:solidFill>
              <a:effectLst/>
              <a:latin typeface="+mn-lt"/>
              <a:ea typeface="+mn-ea"/>
              <a:cs typeface="+mn-cs"/>
            </a:rPr>
            <a:t> ₹45,752,900</a:t>
          </a:r>
        </a:p>
        <a:p>
          <a:pPr lvl="1"/>
          <a:r>
            <a:rPr lang="en-IN" sz="1400" b="1" i="0">
              <a:solidFill>
                <a:schemeClr val="dk1"/>
              </a:solidFill>
              <a:effectLst/>
              <a:latin typeface="+mn-lt"/>
              <a:ea typeface="+mn-ea"/>
              <a:cs typeface="+mn-cs"/>
            </a:rPr>
            <a:t>Blinkit:</a:t>
          </a:r>
          <a:r>
            <a:rPr lang="en-IN" sz="1400" b="0" i="0">
              <a:solidFill>
                <a:schemeClr val="dk1"/>
              </a:solidFill>
              <a:effectLst/>
              <a:latin typeface="+mn-lt"/>
              <a:ea typeface="+mn-ea"/>
              <a:cs typeface="+mn-cs"/>
            </a:rPr>
            <a:t> ₹4,997,594</a:t>
          </a:r>
        </a:p>
        <a:p>
          <a:pPr lvl="1"/>
          <a:r>
            <a:rPr lang="en-IN" sz="1400" b="1" i="0">
              <a:solidFill>
                <a:schemeClr val="dk1"/>
              </a:solidFill>
              <a:effectLst/>
              <a:latin typeface="+mn-lt"/>
              <a:ea typeface="+mn-ea"/>
              <a:cs typeface="+mn-cs"/>
            </a:rPr>
            <a:t>Flipkart:</a:t>
          </a:r>
          <a:r>
            <a:rPr lang="en-IN" sz="1400" b="0" i="0">
              <a:solidFill>
                <a:schemeClr val="dk1"/>
              </a:solidFill>
              <a:effectLst/>
              <a:latin typeface="+mn-lt"/>
              <a:ea typeface="+mn-ea"/>
              <a:cs typeface="+mn-cs"/>
            </a:rPr>
            <a:t> ₹6,797,172</a:t>
          </a:r>
        </a:p>
        <a:p>
          <a:pPr lvl="1"/>
          <a:r>
            <a:rPr lang="en-IN" sz="1400" b="1" i="0">
              <a:solidFill>
                <a:schemeClr val="dk1"/>
              </a:solidFill>
              <a:effectLst/>
              <a:latin typeface="+mn-lt"/>
              <a:ea typeface="+mn-ea"/>
              <a:cs typeface="+mn-cs"/>
            </a:rPr>
            <a:t>Others (Big Basket, Jiomart):</a:t>
          </a:r>
          <a:r>
            <a:rPr lang="en-IN" sz="1400" b="0" i="0">
              <a:solidFill>
                <a:schemeClr val="dk1"/>
              </a:solidFill>
              <a:effectLst/>
              <a:latin typeface="+mn-lt"/>
              <a:ea typeface="+mn-ea"/>
              <a:cs typeface="+mn-cs"/>
            </a:rPr>
            <a:t> Varied but contributing to total sales.</a:t>
          </a:r>
        </a:p>
        <a:p>
          <a:pPr algn="l"/>
          <a:endParaRPr lang="en-IN" sz="1200" b="1" i="0">
            <a:solidFill>
              <a:schemeClr val="dk1"/>
            </a:solidFill>
            <a:effectLst/>
            <a:latin typeface="+mn-lt"/>
            <a:ea typeface="+mn-ea"/>
            <a:cs typeface="+mn-cs"/>
          </a:endParaRPr>
        </a:p>
        <a:p>
          <a:pPr algn="l"/>
          <a:endParaRPr lang="en-IN" sz="1600" b="1" i="0">
            <a:solidFill>
              <a:schemeClr val="dk1"/>
            </a:solidFill>
            <a:effectLst/>
            <a:latin typeface="+mn-lt"/>
            <a:ea typeface="+mn-ea"/>
            <a:cs typeface="+mn-cs"/>
          </a:endParaRPr>
        </a:p>
        <a:p>
          <a:pPr algn="l"/>
          <a:r>
            <a:rPr lang="en-IN" sz="1600" b="1" i="0">
              <a:solidFill>
                <a:schemeClr val="dk1"/>
              </a:solidFill>
              <a:effectLst/>
              <a:latin typeface="+mn-lt"/>
              <a:ea typeface="+mn-ea"/>
              <a:cs typeface="+mn-cs"/>
            </a:rPr>
            <a:t>Recommendations for Improvement:</a:t>
          </a:r>
          <a:endParaRPr lang="en-IN" sz="1600" b="0" i="0">
            <a:solidFill>
              <a:schemeClr val="dk1"/>
            </a:solidFill>
            <a:effectLst/>
            <a:latin typeface="+mn-lt"/>
            <a:ea typeface="+mn-ea"/>
            <a:cs typeface="+mn-cs"/>
          </a:endParaRPr>
        </a:p>
        <a:p>
          <a:pPr algn="l"/>
          <a:r>
            <a:rPr lang="en-IN" sz="1400" b="1" i="0">
              <a:solidFill>
                <a:schemeClr val="dk1"/>
              </a:solidFill>
              <a:effectLst/>
              <a:latin typeface="+mn-lt"/>
              <a:ea typeface="+mn-ea"/>
              <a:cs typeface="+mn-cs"/>
            </a:rPr>
            <a:t>Product Optimization:</a:t>
          </a:r>
          <a:r>
            <a:rPr lang="en-IN" sz="1400" b="0" i="0">
              <a:solidFill>
                <a:schemeClr val="dk1"/>
              </a:solidFill>
              <a:effectLst/>
              <a:latin typeface="+mn-lt"/>
              <a:ea typeface="+mn-ea"/>
              <a:cs typeface="+mn-cs"/>
            </a:rPr>
            <a:t> Let's analyze our product mix and customer preferences to optimize our offerings. This may involve adjusting inventory levels, introducing new products, or refining existing ones to better align with market demand.</a:t>
          </a:r>
        </a:p>
        <a:p>
          <a:pPr algn="l"/>
          <a:r>
            <a:rPr lang="en-IN" sz="1400" b="1" i="0">
              <a:solidFill>
                <a:schemeClr val="dk1"/>
              </a:solidFill>
              <a:effectLst/>
              <a:latin typeface="+mn-lt"/>
              <a:ea typeface="+mn-ea"/>
              <a:cs typeface="+mn-cs"/>
            </a:rPr>
            <a:t>Marketing Strategies:</a:t>
          </a:r>
          <a:r>
            <a:rPr lang="en-IN" sz="1400" b="0" i="0">
              <a:solidFill>
                <a:schemeClr val="dk1"/>
              </a:solidFill>
              <a:effectLst/>
              <a:latin typeface="+mn-lt"/>
              <a:ea typeface="+mn-ea"/>
              <a:cs typeface="+mn-cs"/>
            </a:rPr>
            <a:t> We should develop targeted marketing campaigns and promotions to drive sales across all product categories and channels. Utilizing customer segmentation data will allow us to tailor our messaging and offers to specific customer segments effectively.</a:t>
          </a:r>
        </a:p>
        <a:p>
          <a:pPr algn="l"/>
          <a:r>
            <a:rPr lang="en-IN" sz="1400" b="1" i="0">
              <a:solidFill>
                <a:schemeClr val="dk1"/>
              </a:solidFill>
              <a:effectLst/>
              <a:latin typeface="+mn-lt"/>
              <a:ea typeface="+mn-ea"/>
              <a:cs typeface="+mn-cs"/>
            </a:rPr>
            <a:t>Channel Expansion:</a:t>
          </a:r>
          <a:r>
            <a:rPr lang="en-IN" sz="1400" b="0" i="0">
              <a:solidFill>
                <a:schemeClr val="dk1"/>
              </a:solidFill>
              <a:effectLst/>
              <a:latin typeface="+mn-lt"/>
              <a:ea typeface="+mn-ea"/>
              <a:cs typeface="+mn-cs"/>
            </a:rPr>
            <a:t> Exploring new avenues to expand our sales channels could help us tap into fresh customer segments and broaden our revenue sources. This may involve teaming up with more online retailers, physical stores, or direct-to-consumer platforms.</a:t>
          </a:r>
        </a:p>
        <a:p>
          <a:pPr algn="l"/>
          <a:r>
            <a:rPr lang="en-IN" sz="1400" b="1" i="0">
              <a:solidFill>
                <a:schemeClr val="dk1"/>
              </a:solidFill>
              <a:effectLst/>
              <a:latin typeface="+mn-lt"/>
              <a:ea typeface="+mn-ea"/>
              <a:cs typeface="+mn-cs"/>
            </a:rPr>
            <a:t>Tax Management:</a:t>
          </a:r>
          <a:r>
            <a:rPr lang="en-IN" sz="1400" b="0" i="0">
              <a:solidFill>
                <a:schemeClr val="dk1"/>
              </a:solidFill>
              <a:effectLst/>
              <a:latin typeface="+mn-lt"/>
              <a:ea typeface="+mn-ea"/>
              <a:cs typeface="+mn-cs"/>
            </a:rPr>
            <a:t> It's crucial that we assess how taxes affect our profits and find ways to reduce tax burdens without compromising compliance. This could entail adjusting pricing strategies, negotiating with suppliers, or exploring tax breaks.</a:t>
          </a:r>
        </a:p>
        <a:p>
          <a:pPr algn="l"/>
          <a:r>
            <a:rPr lang="en-IN" sz="1400" b="1" i="0">
              <a:solidFill>
                <a:schemeClr val="dk1"/>
              </a:solidFill>
              <a:effectLst/>
              <a:latin typeface="+mn-lt"/>
              <a:ea typeface="+mn-ea"/>
              <a:cs typeface="+mn-cs"/>
            </a:rPr>
            <a:t>Inventory Optimization:</a:t>
          </a:r>
          <a:r>
            <a:rPr lang="en-IN" sz="1400" b="0" i="0">
              <a:solidFill>
                <a:schemeClr val="dk1"/>
              </a:solidFill>
              <a:effectLst/>
              <a:latin typeface="+mn-lt"/>
              <a:ea typeface="+mn-ea"/>
              <a:cs typeface="+mn-cs"/>
            </a:rPr>
            <a:t> Utilizing advanced inventory management methods like demand forecasting and optimization algorithms can help us maintain ideal stock levels, cut carrying costs, and minimize instances of running out of stock.</a:t>
          </a:r>
        </a:p>
        <a:p>
          <a:pPr algn="l"/>
          <a:r>
            <a:rPr lang="en-IN" sz="1400" b="1" i="0">
              <a:solidFill>
                <a:schemeClr val="dk1"/>
              </a:solidFill>
              <a:effectLst/>
              <a:latin typeface="+mn-lt"/>
              <a:ea typeface="+mn-ea"/>
              <a:cs typeface="+mn-cs"/>
            </a:rPr>
            <a:t>Customer Experience Enhancement:</a:t>
          </a:r>
          <a:r>
            <a:rPr lang="en-IN" sz="1400" b="0" i="0">
              <a:solidFill>
                <a:schemeClr val="dk1"/>
              </a:solidFill>
              <a:effectLst/>
              <a:latin typeface="+mn-lt"/>
              <a:ea typeface="+mn-ea"/>
              <a:cs typeface="+mn-cs"/>
            </a:rPr>
            <a:t> Enhancing the overall customer experience is key to encouraging repeat purchases and building brand loyalty. This could involve streamlining the ordering process, improving product packaging, and delivering top-notch customer service.</a:t>
          </a:r>
          <a:endParaRPr lang="en-IN" sz="14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9</xdr:col>
      <xdr:colOff>403860</xdr:colOff>
      <xdr:row>0</xdr:row>
      <xdr:rowOff>0</xdr:rowOff>
    </xdr:from>
    <xdr:ext cx="1706880" cy="381000"/>
    <xdr:sp macro="" textlink="">
      <xdr:nvSpPr>
        <xdr:cNvPr id="2" name="Rectangle 1">
          <a:extLst>
            <a:ext uri="{FF2B5EF4-FFF2-40B4-BE49-F238E27FC236}">
              <a16:creationId xmlns:a16="http://schemas.microsoft.com/office/drawing/2014/main" id="{61210633-E01D-48AE-BCD3-350C002EE5D0}"/>
            </a:ext>
          </a:extLst>
        </xdr:cNvPr>
        <xdr:cNvSpPr/>
      </xdr:nvSpPr>
      <xdr:spPr>
        <a:xfrm>
          <a:off x="6225540" y="0"/>
          <a:ext cx="1706880" cy="381000"/>
        </a:xfrm>
        <a:prstGeom prst="rect">
          <a:avLst/>
        </a:prstGeom>
        <a:noFill/>
        <a:effectLst>
          <a:outerShdw blurRad="50800" dist="38100" dir="2700000" algn="tl" rotWithShape="0">
            <a:prstClr val="black">
              <a:alpha val="40000"/>
            </a:prstClr>
          </a:outerShdw>
        </a:effectLst>
      </xdr:spPr>
      <xdr:txBody>
        <a:bodyPr wrap="square" lIns="91440" tIns="45720" rIns="91440" bIns="45720">
          <a:noAutofit/>
        </a:bodyPr>
        <a:lstStyle/>
        <a:p>
          <a:pPr algn="ctr"/>
          <a:r>
            <a:rPr lang="en-GB" sz="1800" b="1" cap="none" spc="50">
              <a:ln w="0"/>
              <a:solidFill>
                <a:schemeClr val="bg2"/>
              </a:solidFill>
              <a:effectLst>
                <a:innerShdw blurRad="63500" dist="50800" dir="13500000">
                  <a:srgbClr val="000000">
                    <a:alpha val="50000"/>
                  </a:srgbClr>
                </a:innerShdw>
              </a:effectLst>
            </a:rPr>
            <a:t>DASHBOARD</a:t>
          </a:r>
          <a:endParaRPr lang="en-GB" sz="18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endParaRPr>
        </a:p>
      </xdr:txBody>
    </xdr:sp>
    <xdr:clientData/>
  </xdr:oneCellAnchor>
  <xdr:oneCellAnchor>
    <xdr:from>
      <xdr:col>1</xdr:col>
      <xdr:colOff>349507</xdr:colOff>
      <xdr:row>3</xdr:row>
      <xdr:rowOff>137161</xdr:rowOff>
    </xdr:from>
    <xdr:ext cx="1448813" cy="311496"/>
    <xdr:sp macro="" textlink="">
      <xdr:nvSpPr>
        <xdr:cNvPr id="5" name="Rectangle 4">
          <a:extLst>
            <a:ext uri="{FF2B5EF4-FFF2-40B4-BE49-F238E27FC236}">
              <a16:creationId xmlns:a16="http://schemas.microsoft.com/office/drawing/2014/main" id="{8D4921BC-300F-4AB6-928E-9DAF2E5BD947}"/>
            </a:ext>
          </a:extLst>
        </xdr:cNvPr>
        <xdr:cNvSpPr/>
      </xdr:nvSpPr>
      <xdr:spPr>
        <a:xfrm>
          <a:off x="959107" y="685801"/>
          <a:ext cx="1448813" cy="311496"/>
        </a:xfrm>
        <a:prstGeom prst="rect">
          <a:avLst/>
        </a:prstGeom>
        <a:noFill/>
      </xdr:spPr>
      <xdr:txBody>
        <a:bodyPr wrap="square" lIns="91440" tIns="45720" rIns="91440" bIns="45720">
          <a:spAutoFit/>
          <a:scene3d>
            <a:camera prst="orthographicFront"/>
            <a:lightRig rig="soft" dir="t">
              <a:rot lat="0" lon="0" rev="15600000"/>
            </a:lightRig>
          </a:scene3d>
          <a:sp3d extrusionH="57150" prstMaterial="softEdge">
            <a:bevelT w="25400" h="38100"/>
          </a:sp3d>
        </a:bodyPr>
        <a:lstStyle/>
        <a:p>
          <a:pPr algn="ctr"/>
          <a:r>
            <a:rPr lang="en-GB" sz="1400" b="1" cap="none" spc="0">
              <a:ln/>
              <a:solidFill>
                <a:srgbClr val="002060"/>
              </a:solidFill>
              <a:effectLst/>
            </a:rPr>
            <a:t>Total MRP Value</a:t>
          </a:r>
        </a:p>
      </xdr:txBody>
    </xdr:sp>
    <xdr:clientData/>
  </xdr:oneCellAnchor>
  <xdr:twoCellAnchor editAs="oneCell">
    <xdr:from>
      <xdr:col>10</xdr:col>
      <xdr:colOff>236220</xdr:colOff>
      <xdr:row>2</xdr:row>
      <xdr:rowOff>114300</xdr:rowOff>
    </xdr:from>
    <xdr:to>
      <xdr:col>11</xdr:col>
      <xdr:colOff>464820</xdr:colOff>
      <xdr:row>6</xdr:row>
      <xdr:rowOff>137160</xdr:rowOff>
    </xdr:to>
    <xdr:pic>
      <xdr:nvPicPr>
        <xdr:cNvPr id="7" name="Picture 6">
          <a:extLst>
            <a:ext uri="{FF2B5EF4-FFF2-40B4-BE49-F238E27FC236}">
              <a16:creationId xmlns:a16="http://schemas.microsoft.com/office/drawing/2014/main" id="{7FAED8D1-D828-48D2-A209-755CE71A7D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02780" y="480060"/>
          <a:ext cx="838200" cy="83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5</xdr:col>
      <xdr:colOff>53340</xdr:colOff>
      <xdr:row>3</xdr:row>
      <xdr:rowOff>137160</xdr:rowOff>
    </xdr:from>
    <xdr:ext cx="1700273" cy="311496"/>
    <xdr:sp macro="" textlink="">
      <xdr:nvSpPr>
        <xdr:cNvPr id="8" name="Rectangle 7">
          <a:extLst>
            <a:ext uri="{FF2B5EF4-FFF2-40B4-BE49-F238E27FC236}">
              <a16:creationId xmlns:a16="http://schemas.microsoft.com/office/drawing/2014/main" id="{2BE5D7B4-8DEC-4733-B732-015E48F6059C}"/>
            </a:ext>
          </a:extLst>
        </xdr:cNvPr>
        <xdr:cNvSpPr/>
      </xdr:nvSpPr>
      <xdr:spPr>
        <a:xfrm>
          <a:off x="3771900" y="685800"/>
          <a:ext cx="1700273" cy="311496"/>
        </a:xfrm>
        <a:prstGeom prst="rect">
          <a:avLst/>
        </a:prstGeom>
        <a:noFill/>
      </xdr:spPr>
      <xdr:txBody>
        <a:bodyPr wrap="square" lIns="91440" tIns="45720" rIns="91440" bIns="45720">
          <a:spAutoFit/>
          <a:scene3d>
            <a:camera prst="orthographicFront"/>
            <a:lightRig rig="soft" dir="t">
              <a:rot lat="0" lon="0" rev="15600000"/>
            </a:lightRig>
          </a:scene3d>
          <a:sp3d extrusionH="57150" prstMaterial="softEdge">
            <a:bevelT w="25400" h="38100"/>
          </a:sp3d>
        </a:bodyPr>
        <a:lstStyle/>
        <a:p>
          <a:pPr algn="ctr"/>
          <a:r>
            <a:rPr lang="en-GB" sz="1400" b="1" cap="none" spc="0">
              <a:ln/>
              <a:solidFill>
                <a:srgbClr val="002060"/>
              </a:solidFill>
              <a:effectLst/>
            </a:rPr>
            <a:t>Total Quantity Sold</a:t>
          </a:r>
        </a:p>
      </xdr:txBody>
    </xdr:sp>
    <xdr:clientData/>
  </xdr:oneCellAnchor>
  <xdr:oneCellAnchor>
    <xdr:from>
      <xdr:col>14</xdr:col>
      <xdr:colOff>190500</xdr:colOff>
      <xdr:row>3</xdr:row>
      <xdr:rowOff>129540</xdr:rowOff>
    </xdr:from>
    <xdr:ext cx="1700273" cy="311496"/>
    <xdr:sp macro="" textlink="">
      <xdr:nvSpPr>
        <xdr:cNvPr id="9" name="Rectangle 8">
          <a:extLst>
            <a:ext uri="{FF2B5EF4-FFF2-40B4-BE49-F238E27FC236}">
              <a16:creationId xmlns:a16="http://schemas.microsoft.com/office/drawing/2014/main" id="{0E877335-3E6A-4592-BDBF-DD307B91BFE5}"/>
            </a:ext>
          </a:extLst>
        </xdr:cNvPr>
        <xdr:cNvSpPr/>
      </xdr:nvSpPr>
      <xdr:spPr>
        <a:xfrm>
          <a:off x="9395460" y="678180"/>
          <a:ext cx="1700273" cy="311496"/>
        </a:xfrm>
        <a:prstGeom prst="rect">
          <a:avLst/>
        </a:prstGeom>
        <a:noFill/>
      </xdr:spPr>
      <xdr:txBody>
        <a:bodyPr wrap="square" lIns="91440" tIns="45720" rIns="91440" bIns="45720">
          <a:spAutoFit/>
          <a:scene3d>
            <a:camera prst="orthographicFront"/>
            <a:lightRig rig="soft" dir="t">
              <a:rot lat="0" lon="0" rev="15600000"/>
            </a:lightRig>
          </a:scene3d>
          <a:sp3d extrusionH="57150" prstMaterial="softEdge">
            <a:bevelT w="25400" h="38100"/>
          </a:sp3d>
        </a:bodyPr>
        <a:lstStyle/>
        <a:p>
          <a:pPr algn="ctr"/>
          <a:r>
            <a:rPr lang="en-GB" sz="1400" b="1" cap="none" spc="0">
              <a:ln/>
              <a:solidFill>
                <a:srgbClr val="002060"/>
              </a:solidFill>
              <a:effectLst/>
            </a:rPr>
            <a:t>Total Tax</a:t>
          </a:r>
          <a:r>
            <a:rPr lang="en-GB" sz="1400" b="1" cap="none" spc="0" baseline="0">
              <a:ln/>
              <a:solidFill>
                <a:srgbClr val="002060"/>
              </a:solidFill>
              <a:effectLst/>
            </a:rPr>
            <a:t> Collected</a:t>
          </a:r>
          <a:endParaRPr lang="en-GB" sz="1400" b="1" cap="none" spc="0">
            <a:ln/>
            <a:solidFill>
              <a:srgbClr val="002060"/>
            </a:solidFill>
            <a:effectLst/>
          </a:endParaRPr>
        </a:p>
      </xdr:txBody>
    </xdr:sp>
    <xdr:clientData/>
  </xdr:oneCellAnchor>
  <xdr:oneCellAnchor>
    <xdr:from>
      <xdr:col>17</xdr:col>
      <xdr:colOff>594360</xdr:colOff>
      <xdr:row>3</xdr:row>
      <xdr:rowOff>137160</xdr:rowOff>
    </xdr:from>
    <xdr:ext cx="1700273" cy="311496"/>
    <xdr:sp macro="" textlink="">
      <xdr:nvSpPr>
        <xdr:cNvPr id="10" name="Rectangle 9">
          <a:extLst>
            <a:ext uri="{FF2B5EF4-FFF2-40B4-BE49-F238E27FC236}">
              <a16:creationId xmlns:a16="http://schemas.microsoft.com/office/drawing/2014/main" id="{A415ABFE-99BB-4715-A26F-CC5F1EB5CE7A}"/>
            </a:ext>
          </a:extLst>
        </xdr:cNvPr>
        <xdr:cNvSpPr/>
      </xdr:nvSpPr>
      <xdr:spPr>
        <a:xfrm>
          <a:off x="12001500" y="685800"/>
          <a:ext cx="1700273" cy="311496"/>
        </a:xfrm>
        <a:prstGeom prst="rect">
          <a:avLst/>
        </a:prstGeom>
        <a:noFill/>
      </xdr:spPr>
      <xdr:txBody>
        <a:bodyPr wrap="square" lIns="91440" tIns="45720" rIns="91440" bIns="45720">
          <a:spAutoFit/>
          <a:scene3d>
            <a:camera prst="orthographicFront"/>
            <a:lightRig rig="soft" dir="t">
              <a:rot lat="0" lon="0" rev="15600000"/>
            </a:lightRig>
          </a:scene3d>
          <a:sp3d extrusionH="57150" prstMaterial="softEdge">
            <a:bevelT w="25400" h="38100"/>
          </a:sp3d>
        </a:bodyPr>
        <a:lstStyle/>
        <a:p>
          <a:pPr algn="ctr"/>
          <a:r>
            <a:rPr lang="en-GB" sz="1400" b="1" cap="none" spc="0">
              <a:ln/>
              <a:solidFill>
                <a:srgbClr val="002060"/>
              </a:solidFill>
              <a:effectLst/>
            </a:rPr>
            <a:t>Profit Margin</a:t>
          </a:r>
        </a:p>
      </xdr:txBody>
    </xdr:sp>
    <xdr:clientData/>
  </xdr:oneCellAnchor>
  <xdr:twoCellAnchor>
    <xdr:from>
      <xdr:col>14</xdr:col>
      <xdr:colOff>259080</xdr:colOff>
      <xdr:row>7</xdr:row>
      <xdr:rowOff>129540</xdr:rowOff>
    </xdr:from>
    <xdr:to>
      <xdr:col>20</xdr:col>
      <xdr:colOff>419100</xdr:colOff>
      <xdr:row>27</xdr:row>
      <xdr:rowOff>76200</xdr:rowOff>
    </xdr:to>
    <xdr:graphicFrame macro="">
      <xdr:nvGraphicFramePr>
        <xdr:cNvPr id="11" name="Chart 10">
          <a:extLst>
            <a:ext uri="{FF2B5EF4-FFF2-40B4-BE49-F238E27FC236}">
              <a16:creationId xmlns:a16="http://schemas.microsoft.com/office/drawing/2014/main" id="{F3C321E5-CF08-4FFE-B077-D1D0DA1D31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335280</xdr:colOff>
      <xdr:row>7</xdr:row>
      <xdr:rowOff>129540</xdr:rowOff>
    </xdr:from>
    <xdr:to>
      <xdr:col>14</xdr:col>
      <xdr:colOff>350520</xdr:colOff>
      <xdr:row>26</xdr:row>
      <xdr:rowOff>163830</xdr:rowOff>
    </xdr:to>
    <xdr:graphicFrame macro="">
      <xdr:nvGraphicFramePr>
        <xdr:cNvPr id="12" name="Chart 11">
          <a:extLst>
            <a:ext uri="{FF2B5EF4-FFF2-40B4-BE49-F238E27FC236}">
              <a16:creationId xmlns:a16="http://schemas.microsoft.com/office/drawing/2014/main" id="{2B318AEE-923C-446E-AA66-D701BB766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1</xdr:rowOff>
    </xdr:from>
    <xdr:to>
      <xdr:col>2</xdr:col>
      <xdr:colOff>915472</xdr:colOff>
      <xdr:row>13</xdr:row>
      <xdr:rowOff>76201</xdr:rowOff>
    </xdr:to>
    <xdr:pic>
      <xdr:nvPicPr>
        <xdr:cNvPr id="14" name="Picture 13">
          <a:extLst>
            <a:ext uri="{FF2B5EF4-FFF2-40B4-BE49-F238E27FC236}">
              <a16:creationId xmlns:a16="http://schemas.microsoft.com/office/drawing/2014/main" id="{06F588E2-E7AC-4B19-824A-4D65B20DE8B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1363981"/>
          <a:ext cx="2134672" cy="1173480"/>
        </a:xfrm>
        <a:prstGeom prst="rect">
          <a:avLst/>
        </a:prstGeom>
      </xdr:spPr>
    </xdr:pic>
    <xdr:clientData/>
  </xdr:twoCellAnchor>
  <xdr:twoCellAnchor editAs="oneCell">
    <xdr:from>
      <xdr:col>4</xdr:col>
      <xdr:colOff>457200</xdr:colOff>
      <xdr:row>16</xdr:row>
      <xdr:rowOff>1</xdr:rowOff>
    </xdr:from>
    <xdr:to>
      <xdr:col>6</xdr:col>
      <xdr:colOff>205740</xdr:colOff>
      <xdr:row>25</xdr:row>
      <xdr:rowOff>60961</xdr:rowOff>
    </xdr:to>
    <mc:AlternateContent xmlns:mc="http://schemas.openxmlformats.org/markup-compatibility/2006" xmlns:a14="http://schemas.microsoft.com/office/drawing/2010/main">
      <mc:Choice Requires="a14">
        <xdr:graphicFrame macro="">
          <xdr:nvGraphicFramePr>
            <xdr:cNvPr id="15" name="Channel">
              <a:extLst>
                <a:ext uri="{FF2B5EF4-FFF2-40B4-BE49-F238E27FC236}">
                  <a16:creationId xmlns:a16="http://schemas.microsoft.com/office/drawing/2014/main" id="{F5DA692D-E140-4B2E-8E7E-7987DFABB489}"/>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3230880" y="3009901"/>
              <a:ext cx="1303020" cy="1706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449580</xdr:colOff>
      <xdr:row>16</xdr:row>
      <xdr:rowOff>7621</xdr:rowOff>
    </xdr:from>
    <xdr:to>
      <xdr:col>2</xdr:col>
      <xdr:colOff>510540</xdr:colOff>
      <xdr:row>25</xdr:row>
      <xdr:rowOff>76201</xdr:rowOff>
    </xdr:to>
    <mc:AlternateContent xmlns:mc="http://schemas.openxmlformats.org/markup-compatibility/2006" xmlns:a14="http://schemas.microsoft.com/office/drawing/2010/main">
      <mc:Choice Requires="a14">
        <xdr:graphicFrame macro="">
          <xdr:nvGraphicFramePr>
            <xdr:cNvPr id="16" name="Category">
              <a:extLst>
                <a:ext uri="{FF2B5EF4-FFF2-40B4-BE49-F238E27FC236}">
                  <a16:creationId xmlns:a16="http://schemas.microsoft.com/office/drawing/2014/main" id="{D2B5BB9E-EC00-4D37-996B-999798E6FCB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49580" y="3017521"/>
              <a:ext cx="128016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723900</xdr:colOff>
      <xdr:row>19</xdr:row>
      <xdr:rowOff>15241</xdr:rowOff>
    </xdr:from>
    <xdr:to>
      <xdr:col>4</xdr:col>
      <xdr:colOff>312420</xdr:colOff>
      <xdr:row>24</xdr:row>
      <xdr:rowOff>53340</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9E087E67-D9C3-413C-993E-A9613564968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43100" y="3573781"/>
              <a:ext cx="1143000"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dip" refreshedDate="45396.700160069442" createdVersion="7" refreshedVersion="7" minRefreshableVersion="3" recordCount="911" xr:uid="{4B3CDC80-D403-4C28-A235-C3CC69C5E05F}">
  <cacheSource type="worksheet">
    <worksheetSource name="Unified_Table"/>
  </cacheSource>
  <cacheFields count="9">
    <cacheField name="Channel" numFmtId="0">
      <sharedItems count="5">
        <s v="Amazon"/>
        <s v="Flipkart"/>
        <s v="Jiomart"/>
        <s v="Blinkit"/>
        <s v="Big Basket"/>
      </sharedItems>
    </cacheField>
    <cacheField name="Month" numFmtId="0">
      <sharedItems count="2">
        <s v="Feb"/>
        <s v="Jan"/>
      </sharedItems>
    </cacheField>
    <cacheField name="Master Sku" numFmtId="0">
      <sharedItems count="13">
        <s v="DF_Cashews_200"/>
        <s v="DF_Cashews_500"/>
        <s v="DF_GR_500"/>
        <s v="DF_Almonds_200"/>
        <s v="DF_Almonds_500"/>
        <s v="DF_Almonds_500_P2"/>
        <s v="DF_GR_500_P2"/>
        <s v="DF_Cashews_500_P2"/>
        <s v="DF_BR_200"/>
        <s v="DF_BR_500"/>
        <s v="DF_BR_500_P2"/>
        <s v="DF_GR_200"/>
        <s v="DF_Almonds500_Cashews500_P2"/>
      </sharedItems>
    </cacheField>
    <cacheField name="Category" numFmtId="0">
      <sharedItems count="5">
        <s v="Cashews"/>
        <s v="Green Raisins"/>
        <s v="Almonds"/>
        <s v="Black Raisins"/>
        <s v="Combo"/>
      </sharedItems>
    </cacheField>
    <cacheField name="Qty" numFmtId="0">
      <sharedItems containsSemiMixedTypes="0" containsString="0" containsNumber="1" containsInteger="1" minValue="2" maxValue="3392"/>
    </cacheField>
    <cacheField name="MRP Sales" numFmtId="1">
      <sharedItems containsSemiMixedTypes="0" containsString="0" containsNumber="1" containsInteger="1" minValue="330" maxValue="4070400"/>
    </cacheField>
    <cacheField name="Discounts " numFmtId="2">
      <sharedItems containsSemiMixedTypes="0" containsString="0" containsNumber="1" minValue="0" maxValue="1836474.5199999809"/>
    </cacheField>
    <cacheField name="Taxes" numFmtId="2">
      <sharedItems containsSemiMixedTypes="0" containsString="0" containsNumber="1" minValue="-142.71428571428578" maxValue="106377.40380952461"/>
    </cacheField>
    <cacheField name="ASP" numFmtId="2">
      <sharedItems containsSemiMixedTypes="0" containsString="0" containsNumber="1" minValue="-666" maxValue="1700"/>
    </cacheField>
  </cacheFields>
  <extLst>
    <ext xmlns:x14="http://schemas.microsoft.com/office/spreadsheetml/2009/9/main" uri="{725AE2AE-9491-48be-B2B4-4EB974FC3084}">
      <x14:pivotCacheDefinition pivotCacheId="5058066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1">
  <r>
    <x v="0"/>
    <x v="0"/>
    <x v="0"/>
    <x v="0"/>
    <n v="4"/>
    <n v="1340"/>
    <n v="144"/>
    <n v="56.952380952380963"/>
    <n v="299"/>
  </r>
  <r>
    <x v="0"/>
    <x v="0"/>
    <x v="1"/>
    <x v="0"/>
    <n v="8"/>
    <n v="4800"/>
    <n v="1208"/>
    <n v="171.04761904761926"/>
    <n v="449"/>
  </r>
  <r>
    <x v="0"/>
    <x v="0"/>
    <x v="2"/>
    <x v="1"/>
    <n v="56"/>
    <n v="21000"/>
    <n v="8368.7999999999993"/>
    <n v="601.48571428571449"/>
    <n v="225.55714285714288"/>
  </r>
  <r>
    <x v="0"/>
    <x v="0"/>
    <x v="3"/>
    <x v="2"/>
    <n v="4"/>
    <n v="1196"/>
    <n v="300"/>
    <n v="96.000000000000114"/>
    <n v="224"/>
  </r>
  <r>
    <x v="0"/>
    <x v="0"/>
    <x v="4"/>
    <x v="2"/>
    <n v="24"/>
    <n v="13800"/>
    <n v="3113.7999999999993"/>
    <n v="1144.9500000000007"/>
    <n v="445.25833333333338"/>
  </r>
  <r>
    <x v="0"/>
    <x v="0"/>
    <x v="5"/>
    <x v="2"/>
    <n v="48"/>
    <n v="55200"/>
    <n v="18183.599999999999"/>
    <n v="3966.0428571428638"/>
    <n v="771.17500000000007"/>
  </r>
  <r>
    <x v="0"/>
    <x v="0"/>
    <x v="6"/>
    <x v="1"/>
    <n v="4"/>
    <n v="3000"/>
    <n v="3000"/>
    <n v="0"/>
    <n v="0"/>
  </r>
  <r>
    <x v="0"/>
    <x v="0"/>
    <x v="7"/>
    <x v="0"/>
    <n v="100"/>
    <n v="120000"/>
    <n v="42061.8"/>
    <n v="3711.3428571428667"/>
    <n v="779.38199999999995"/>
  </r>
  <r>
    <x v="0"/>
    <x v="0"/>
    <x v="8"/>
    <x v="3"/>
    <n v="12"/>
    <n v="2388"/>
    <n v="1200"/>
    <n v="56.571428571428669"/>
    <n v="99"/>
  </r>
  <r>
    <x v="0"/>
    <x v="0"/>
    <x v="9"/>
    <x v="3"/>
    <n v="104"/>
    <n v="46800"/>
    <n v="21665.599999999999"/>
    <n v="1196.8761904761923"/>
    <n v="241.67692307692309"/>
  </r>
  <r>
    <x v="0"/>
    <x v="0"/>
    <x v="10"/>
    <x v="3"/>
    <n v="4"/>
    <n v="3600"/>
    <n v="1804"/>
    <n v="273.9661016949151"/>
    <n v="449"/>
  </r>
  <r>
    <x v="0"/>
    <x v="0"/>
    <x v="0"/>
    <x v="0"/>
    <n v="16"/>
    <n v="5360"/>
    <n v="576"/>
    <n v="227.80952380952385"/>
    <n v="299"/>
  </r>
  <r>
    <x v="0"/>
    <x v="0"/>
    <x v="1"/>
    <x v="0"/>
    <n v="12"/>
    <n v="7200"/>
    <n v="1812"/>
    <n v="256.57142857142844"/>
    <n v="449"/>
  </r>
  <r>
    <x v="0"/>
    <x v="0"/>
    <x v="2"/>
    <x v="1"/>
    <n v="32"/>
    <n v="12000"/>
    <n v="4749.6000000000004"/>
    <n v="345.25714285714275"/>
    <n v="226.57499999999999"/>
  </r>
  <r>
    <x v="0"/>
    <x v="0"/>
    <x v="11"/>
    <x v="1"/>
    <n v="4"/>
    <n v="660"/>
    <n v="304"/>
    <n v="16.952380952380963"/>
    <n v="89"/>
  </r>
  <r>
    <x v="0"/>
    <x v="0"/>
    <x v="4"/>
    <x v="2"/>
    <n v="24"/>
    <n v="13800"/>
    <n v="3024"/>
    <n v="1154.5714285714294"/>
    <n v="449"/>
  </r>
  <r>
    <x v="0"/>
    <x v="0"/>
    <x v="5"/>
    <x v="2"/>
    <n v="32"/>
    <n v="36800"/>
    <n v="9968"/>
    <n v="2874.8571428571449"/>
    <n v="838.5"/>
  </r>
  <r>
    <x v="0"/>
    <x v="0"/>
    <x v="7"/>
    <x v="0"/>
    <n v="84"/>
    <n v="100800"/>
    <n v="33049.800000000003"/>
    <n v="3226.2000000000044"/>
    <n v="806.55"/>
  </r>
  <r>
    <x v="0"/>
    <x v="0"/>
    <x v="8"/>
    <x v="3"/>
    <n v="16"/>
    <n v="3184"/>
    <n v="1600"/>
    <n v="75.428571428571558"/>
    <n v="99"/>
  </r>
  <r>
    <x v="0"/>
    <x v="0"/>
    <x v="9"/>
    <x v="3"/>
    <n v="112"/>
    <n v="50400"/>
    <n v="25760"/>
    <n v="1173.3333333333358"/>
    <n v="220"/>
  </r>
  <r>
    <x v="0"/>
    <x v="0"/>
    <x v="12"/>
    <x v="4"/>
    <n v="4"/>
    <n v="9400"/>
    <n v="2600"/>
    <n v="728.57142857142935"/>
    <n v="1700"/>
  </r>
  <r>
    <x v="0"/>
    <x v="0"/>
    <x v="1"/>
    <x v="0"/>
    <n v="4"/>
    <n v="2400"/>
    <n v="604"/>
    <n v="85.523809523809632"/>
    <n v="449"/>
  </r>
  <r>
    <x v="0"/>
    <x v="0"/>
    <x v="2"/>
    <x v="1"/>
    <n v="32"/>
    <n v="12000"/>
    <n v="7788"/>
    <n v="200.5714285714289"/>
    <n v="131.625"/>
  </r>
  <r>
    <x v="0"/>
    <x v="0"/>
    <x v="11"/>
    <x v="1"/>
    <n v="4"/>
    <n v="660"/>
    <n v="304"/>
    <n v="16.952380952380963"/>
    <n v="89"/>
  </r>
  <r>
    <x v="0"/>
    <x v="0"/>
    <x v="3"/>
    <x v="2"/>
    <n v="4"/>
    <n v="1196"/>
    <n v="300"/>
    <n v="96.000000000000114"/>
    <n v="224"/>
  </r>
  <r>
    <x v="0"/>
    <x v="0"/>
    <x v="4"/>
    <x v="2"/>
    <n v="20"/>
    <n v="11500"/>
    <n v="2609.7999999999993"/>
    <n v="952.52142857142917"/>
    <n v="444.51000000000005"/>
  </r>
  <r>
    <x v="0"/>
    <x v="0"/>
    <x v="5"/>
    <x v="2"/>
    <n v="84"/>
    <n v="96600"/>
    <n v="31278.800000000003"/>
    <n v="6998.7000000000044"/>
    <n v="777.63333333333333"/>
  </r>
  <r>
    <x v="0"/>
    <x v="0"/>
    <x v="7"/>
    <x v="0"/>
    <n v="68"/>
    <n v="81600"/>
    <n v="24377.4"/>
    <n v="2724.8857142857159"/>
    <n v="841.50882352941176"/>
  </r>
  <r>
    <x v="0"/>
    <x v="0"/>
    <x v="8"/>
    <x v="3"/>
    <n v="4"/>
    <n v="796"/>
    <n v="400"/>
    <n v="18.85714285714289"/>
    <n v="99"/>
  </r>
  <r>
    <x v="0"/>
    <x v="0"/>
    <x v="9"/>
    <x v="3"/>
    <n v="112"/>
    <n v="50400"/>
    <n v="25848"/>
    <n v="1169.1428571428587"/>
    <n v="219.21428571428572"/>
  </r>
  <r>
    <x v="0"/>
    <x v="0"/>
    <x v="10"/>
    <x v="3"/>
    <n v="4"/>
    <n v="3600"/>
    <n v="1604"/>
    <n v="304.47457627118638"/>
    <n v="499"/>
  </r>
  <r>
    <x v="0"/>
    <x v="0"/>
    <x v="1"/>
    <x v="0"/>
    <n v="8"/>
    <n v="4800"/>
    <n v="1208"/>
    <n v="171.04761904761926"/>
    <n v="449"/>
  </r>
  <r>
    <x v="0"/>
    <x v="0"/>
    <x v="2"/>
    <x v="1"/>
    <n v="40"/>
    <n v="15000"/>
    <n v="7836"/>
    <n v="341.14285714285779"/>
    <n v="179.1"/>
  </r>
  <r>
    <x v="0"/>
    <x v="0"/>
    <x v="11"/>
    <x v="1"/>
    <n v="4"/>
    <n v="660"/>
    <n v="304"/>
    <n v="16.952380952380963"/>
    <n v="89"/>
  </r>
  <r>
    <x v="0"/>
    <x v="0"/>
    <x v="3"/>
    <x v="2"/>
    <n v="4"/>
    <n v="1196"/>
    <n v="300"/>
    <n v="96.000000000000114"/>
    <n v="224"/>
  </r>
  <r>
    <x v="0"/>
    <x v="0"/>
    <x v="4"/>
    <x v="2"/>
    <n v="20"/>
    <n v="11500"/>
    <n v="2520"/>
    <n v="962.14285714285779"/>
    <n v="449"/>
  </r>
  <r>
    <x v="0"/>
    <x v="0"/>
    <x v="5"/>
    <x v="2"/>
    <n v="100"/>
    <n v="115000"/>
    <n v="38455.800000000003"/>
    <n v="8201.164285714287"/>
    <n v="765.44200000000001"/>
  </r>
  <r>
    <x v="0"/>
    <x v="0"/>
    <x v="7"/>
    <x v="0"/>
    <n v="56"/>
    <n v="67200"/>
    <n v="23391.599999999999"/>
    <n v="2086.1142857142841"/>
    <n v="782.2928571428572"/>
  </r>
  <r>
    <x v="0"/>
    <x v="0"/>
    <x v="8"/>
    <x v="3"/>
    <n v="8"/>
    <n v="1592"/>
    <n v="800"/>
    <n v="37.714285714285779"/>
    <n v="99"/>
  </r>
  <r>
    <x v="0"/>
    <x v="0"/>
    <x v="9"/>
    <x v="3"/>
    <n v="136"/>
    <n v="61200"/>
    <n v="31412"/>
    <n v="1418.4761904761908"/>
    <n v="219.02941176470588"/>
  </r>
  <r>
    <x v="0"/>
    <x v="0"/>
    <x v="10"/>
    <x v="3"/>
    <n v="4"/>
    <n v="3600"/>
    <n v="1604"/>
    <n v="304.47457627118638"/>
    <n v="499"/>
  </r>
  <r>
    <x v="0"/>
    <x v="0"/>
    <x v="1"/>
    <x v="0"/>
    <n v="12"/>
    <n v="7200"/>
    <n v="1812"/>
    <n v="256.57142857142844"/>
    <n v="449"/>
  </r>
  <r>
    <x v="0"/>
    <x v="0"/>
    <x v="2"/>
    <x v="1"/>
    <n v="48"/>
    <n v="18000"/>
    <n v="10199.200000000001"/>
    <n v="371.46666666666715"/>
    <n v="162.51666666666665"/>
  </r>
  <r>
    <x v="0"/>
    <x v="0"/>
    <x v="4"/>
    <x v="2"/>
    <n v="4"/>
    <n v="2300"/>
    <n v="504"/>
    <n v="192.42857142857156"/>
    <n v="449"/>
  </r>
  <r>
    <x v="0"/>
    <x v="0"/>
    <x v="5"/>
    <x v="2"/>
    <n v="56"/>
    <n v="64400"/>
    <n v="19656"/>
    <n v="4794.0000000000073"/>
    <n v="799"/>
  </r>
  <r>
    <x v="0"/>
    <x v="0"/>
    <x v="6"/>
    <x v="1"/>
    <n v="8"/>
    <n v="6000"/>
    <n v="2808"/>
    <n v="152"/>
    <n v="399"/>
  </r>
  <r>
    <x v="0"/>
    <x v="0"/>
    <x v="7"/>
    <x v="0"/>
    <n v="76"/>
    <n v="91200"/>
    <n v="27015.599999999999"/>
    <n v="3056.4000000000015"/>
    <n v="844.53157894736842"/>
  </r>
  <r>
    <x v="0"/>
    <x v="0"/>
    <x v="9"/>
    <x v="3"/>
    <n v="116"/>
    <n v="52200"/>
    <n v="26680"/>
    <n v="1215.2380952380954"/>
    <n v="220"/>
  </r>
  <r>
    <x v="0"/>
    <x v="0"/>
    <x v="10"/>
    <x v="3"/>
    <n v="4"/>
    <n v="3600"/>
    <n v="1604"/>
    <n v="304.47457627118638"/>
    <n v="499"/>
  </r>
  <r>
    <x v="0"/>
    <x v="0"/>
    <x v="1"/>
    <x v="0"/>
    <n v="16"/>
    <n v="9600"/>
    <n v="2416"/>
    <n v="342.09523809523853"/>
    <n v="449"/>
  </r>
  <r>
    <x v="0"/>
    <x v="0"/>
    <x v="2"/>
    <x v="1"/>
    <n v="56"/>
    <n v="21000"/>
    <n v="11448"/>
    <n v="454.85714285714312"/>
    <n v="170.57142857142858"/>
  </r>
  <r>
    <x v="0"/>
    <x v="0"/>
    <x v="3"/>
    <x v="2"/>
    <n v="4"/>
    <n v="1196"/>
    <n v="300"/>
    <n v="96.000000000000114"/>
    <n v="224"/>
  </r>
  <r>
    <x v="0"/>
    <x v="0"/>
    <x v="4"/>
    <x v="2"/>
    <n v="4"/>
    <n v="2300"/>
    <n v="593.79999999999995"/>
    <n v="182.80714285714294"/>
    <n v="426.55"/>
  </r>
  <r>
    <x v="0"/>
    <x v="0"/>
    <x v="5"/>
    <x v="2"/>
    <n v="92"/>
    <n v="105800"/>
    <n v="35967.399999999994"/>
    <n v="7482.0642857142957"/>
    <n v="759.05000000000007"/>
  </r>
  <r>
    <x v="0"/>
    <x v="0"/>
    <x v="7"/>
    <x v="0"/>
    <n v="60"/>
    <n v="72000"/>
    <n v="21060"/>
    <n v="2425.7142857142899"/>
    <n v="849"/>
  </r>
  <r>
    <x v="0"/>
    <x v="0"/>
    <x v="8"/>
    <x v="3"/>
    <n v="4"/>
    <n v="796"/>
    <n v="400"/>
    <n v="18.85714285714289"/>
    <n v="99"/>
  </r>
  <r>
    <x v="0"/>
    <x v="0"/>
    <x v="9"/>
    <x v="3"/>
    <n v="128"/>
    <n v="57600"/>
    <n v="31244"/>
    <n v="1255.0476190476184"/>
    <n v="205.90625"/>
  </r>
  <r>
    <x v="0"/>
    <x v="0"/>
    <x v="10"/>
    <x v="3"/>
    <n v="4"/>
    <n v="3600"/>
    <n v="1604"/>
    <n v="304.47457627118638"/>
    <n v="499"/>
  </r>
  <r>
    <x v="0"/>
    <x v="1"/>
    <x v="1"/>
    <x v="0"/>
    <n v="16"/>
    <n v="9600"/>
    <n v="3292"/>
    <n v="300.38095238095229"/>
    <n v="394.25"/>
  </r>
  <r>
    <x v="0"/>
    <x v="1"/>
    <x v="4"/>
    <x v="2"/>
    <n v="20"/>
    <n v="11500"/>
    <n v="3454.3999999999996"/>
    <n v="862.02857142857192"/>
    <n v="402.28000000000003"/>
  </r>
  <r>
    <x v="0"/>
    <x v="1"/>
    <x v="5"/>
    <x v="2"/>
    <n v="104"/>
    <n v="119600"/>
    <n v="47278.44"/>
    <n v="7748.7385714285774"/>
    <n v="695.39961538461534"/>
  </r>
  <r>
    <x v="0"/>
    <x v="1"/>
    <x v="7"/>
    <x v="0"/>
    <n v="96"/>
    <n v="115200"/>
    <n v="48228.600000000006"/>
    <n v="3189.1142857142913"/>
    <n v="697.61874999999998"/>
  </r>
  <r>
    <x v="0"/>
    <x v="1"/>
    <x v="9"/>
    <x v="3"/>
    <n v="8"/>
    <n v="3600"/>
    <n v="1800"/>
    <n v="85.714285714285779"/>
    <n v="225"/>
  </r>
  <r>
    <x v="0"/>
    <x v="1"/>
    <x v="0"/>
    <x v="0"/>
    <n v="8"/>
    <n v="2680"/>
    <n v="1088"/>
    <n v="75.809523809523853"/>
    <n v="199"/>
  </r>
  <r>
    <x v="0"/>
    <x v="1"/>
    <x v="1"/>
    <x v="0"/>
    <n v="40"/>
    <n v="24000"/>
    <n v="8116"/>
    <n v="756.38095238095229"/>
    <n v="397.1"/>
  </r>
  <r>
    <x v="0"/>
    <x v="1"/>
    <x v="2"/>
    <x v="1"/>
    <n v="16"/>
    <n v="6000"/>
    <n v="2853.92"/>
    <n v="149.8133333333335"/>
    <n v="196.63"/>
  </r>
  <r>
    <x v="0"/>
    <x v="1"/>
    <x v="11"/>
    <x v="1"/>
    <n v="4"/>
    <n v="660"/>
    <n v="144"/>
    <n v="24.571428571428612"/>
    <n v="129"/>
  </r>
  <r>
    <x v="0"/>
    <x v="1"/>
    <x v="3"/>
    <x v="2"/>
    <n v="12"/>
    <n v="3588"/>
    <n v="900"/>
    <n v="288.00000000000045"/>
    <n v="224"/>
  </r>
  <r>
    <x v="0"/>
    <x v="1"/>
    <x v="4"/>
    <x v="2"/>
    <n v="16"/>
    <n v="9200"/>
    <n v="2176"/>
    <n v="752.57142857142935"/>
    <n v="439"/>
  </r>
  <r>
    <x v="0"/>
    <x v="1"/>
    <x v="5"/>
    <x v="2"/>
    <n v="944"/>
    <n v="1085600"/>
    <n v="435579.92000000004"/>
    <n v="69645.008571428596"/>
    <n v="688.58059322033898"/>
  </r>
  <r>
    <x v="0"/>
    <x v="1"/>
    <x v="6"/>
    <x v="1"/>
    <n v="12"/>
    <n v="9000"/>
    <n v="4712.5599999999995"/>
    <n v="204.1638095238095"/>
    <n v="357.28666666666669"/>
  </r>
  <r>
    <x v="0"/>
    <x v="1"/>
    <x v="7"/>
    <x v="0"/>
    <n v="1192"/>
    <n v="1430400"/>
    <n v="606512.88000000024"/>
    <n v="39232.719999999972"/>
    <n v="691.18046979865755"/>
  </r>
  <r>
    <x v="0"/>
    <x v="1"/>
    <x v="9"/>
    <x v="3"/>
    <n v="88"/>
    <n v="39600"/>
    <n v="19928.52"/>
    <n v="936.73714285714232"/>
    <n v="223.53954545454545"/>
  </r>
  <r>
    <x v="0"/>
    <x v="1"/>
    <x v="0"/>
    <x v="0"/>
    <n v="16"/>
    <n v="5360"/>
    <n v="2176"/>
    <n v="151.61904761904771"/>
    <n v="199"/>
  </r>
  <r>
    <x v="0"/>
    <x v="1"/>
    <x v="1"/>
    <x v="0"/>
    <n v="76"/>
    <n v="45600"/>
    <n v="15352"/>
    <n v="1440.3809523809541"/>
    <n v="398"/>
  </r>
  <r>
    <x v="0"/>
    <x v="1"/>
    <x v="2"/>
    <x v="1"/>
    <n v="12"/>
    <n v="4500"/>
    <n v="2225.7199999999998"/>
    <n v="108.29904761904754"/>
    <n v="189.52333333333334"/>
  </r>
  <r>
    <x v="0"/>
    <x v="1"/>
    <x v="3"/>
    <x v="2"/>
    <n v="4"/>
    <n v="1196"/>
    <n v="300"/>
    <n v="96.000000000000114"/>
    <n v="224"/>
  </r>
  <r>
    <x v="0"/>
    <x v="1"/>
    <x v="4"/>
    <x v="2"/>
    <n v="52"/>
    <n v="29900"/>
    <n v="7326.4000000000015"/>
    <n v="2418.6000000000022"/>
    <n v="434.10769230769228"/>
  </r>
  <r>
    <x v="0"/>
    <x v="1"/>
    <x v="5"/>
    <x v="2"/>
    <n v="1248"/>
    <n v="1435200"/>
    <n v="568465.12000000011"/>
    <n v="92864.451428571483"/>
    <n v="694.49910256410249"/>
  </r>
  <r>
    <x v="0"/>
    <x v="1"/>
    <x v="6"/>
    <x v="1"/>
    <n v="8"/>
    <n v="6000"/>
    <n v="3048"/>
    <n v="140.5714285714289"/>
    <n v="369"/>
  </r>
  <r>
    <x v="0"/>
    <x v="1"/>
    <x v="7"/>
    <x v="0"/>
    <n v="1424"/>
    <n v="1708800"/>
    <n v="723543.64000000025"/>
    <n v="46916.969523809501"/>
    <n v="691.89351123595486"/>
  </r>
  <r>
    <x v="0"/>
    <x v="1"/>
    <x v="9"/>
    <x v="3"/>
    <n v="96"/>
    <n v="43200"/>
    <n v="21942.840000000004"/>
    <n v="1012.2457142857165"/>
    <n v="221.42874999999995"/>
  </r>
  <r>
    <x v="0"/>
    <x v="1"/>
    <x v="10"/>
    <x v="3"/>
    <n v="12"/>
    <n v="10800"/>
    <n v="5497.52"/>
    <n v="808.85288135593146"/>
    <n v="441.87333333333328"/>
  </r>
  <r>
    <x v="0"/>
    <x v="1"/>
    <x v="0"/>
    <x v="0"/>
    <n v="36"/>
    <n v="12060"/>
    <n v="4896"/>
    <n v="341.14285714285779"/>
    <n v="199"/>
  </r>
  <r>
    <x v="0"/>
    <x v="1"/>
    <x v="1"/>
    <x v="0"/>
    <n v="32"/>
    <n v="19200"/>
    <n v="6364.5600000000013"/>
    <n v="611.21142857142877"/>
    <n v="401.10749999999996"/>
  </r>
  <r>
    <x v="0"/>
    <x v="1"/>
    <x v="2"/>
    <x v="1"/>
    <n v="20"/>
    <n v="7500"/>
    <n v="3200"/>
    <n v="204.76190476190504"/>
    <n v="215"/>
  </r>
  <r>
    <x v="0"/>
    <x v="1"/>
    <x v="11"/>
    <x v="1"/>
    <n v="4"/>
    <n v="660"/>
    <n v="144"/>
    <n v="24.571428571428612"/>
    <n v="129"/>
  </r>
  <r>
    <x v="0"/>
    <x v="1"/>
    <x v="4"/>
    <x v="2"/>
    <n v="16"/>
    <n v="9200"/>
    <n v="2136.16"/>
    <n v="756.84000000000106"/>
    <n v="441.49"/>
  </r>
  <r>
    <x v="0"/>
    <x v="1"/>
    <x v="5"/>
    <x v="2"/>
    <n v="568"/>
    <n v="653200"/>
    <n v="252718.04000000004"/>
    <n v="42908.781428571441"/>
    <n v="705.07387323943658"/>
  </r>
  <r>
    <x v="0"/>
    <x v="1"/>
    <x v="6"/>
    <x v="1"/>
    <n v="4"/>
    <n v="3000"/>
    <n v="1524"/>
    <n v="70.285714285714448"/>
    <n v="369"/>
  </r>
  <r>
    <x v="0"/>
    <x v="1"/>
    <x v="7"/>
    <x v="0"/>
    <n v="780"/>
    <n v="936000"/>
    <n v="381732.91999999981"/>
    <n v="26393.670476190513"/>
    <n v="710.59882051282079"/>
  </r>
  <r>
    <x v="0"/>
    <x v="1"/>
    <x v="9"/>
    <x v="3"/>
    <n v="44"/>
    <n v="19800"/>
    <n v="9364.9599999999991"/>
    <n v="496.90666666666766"/>
    <n v="237.16000000000003"/>
  </r>
  <r>
    <x v="0"/>
    <x v="1"/>
    <x v="0"/>
    <x v="0"/>
    <n v="8"/>
    <n v="2680"/>
    <n v="448"/>
    <n v="106.28571428571422"/>
    <n v="279"/>
  </r>
  <r>
    <x v="0"/>
    <x v="1"/>
    <x v="1"/>
    <x v="0"/>
    <n v="48"/>
    <n v="28800"/>
    <n v="7248"/>
    <n v="1026.2857142857138"/>
    <n v="449"/>
  </r>
  <r>
    <x v="0"/>
    <x v="1"/>
    <x v="3"/>
    <x v="2"/>
    <n v="4"/>
    <n v="1196"/>
    <n v="200"/>
    <n v="106.71428571428578"/>
    <n v="249"/>
  </r>
  <r>
    <x v="0"/>
    <x v="1"/>
    <x v="4"/>
    <x v="2"/>
    <n v="56"/>
    <n v="32200"/>
    <n v="7352.16"/>
    <n v="2662.2685714285726"/>
    <n v="443.7114285714286"/>
  </r>
  <r>
    <x v="0"/>
    <x v="1"/>
    <x v="5"/>
    <x v="2"/>
    <n v="88"/>
    <n v="101200"/>
    <n v="26639.600000000006"/>
    <n v="7988.6142857142986"/>
    <n v="847.2772727272727"/>
  </r>
  <r>
    <x v="0"/>
    <x v="1"/>
    <x v="6"/>
    <x v="1"/>
    <n v="8"/>
    <n v="6000"/>
    <n v="2808"/>
    <n v="152"/>
    <n v="399"/>
  </r>
  <r>
    <x v="0"/>
    <x v="1"/>
    <x v="7"/>
    <x v="0"/>
    <n v="300"/>
    <n v="360000"/>
    <n v="127225.36000000002"/>
    <n v="11084.506666666683"/>
    <n v="775.91546666666659"/>
  </r>
  <r>
    <x v="0"/>
    <x v="1"/>
    <x v="9"/>
    <x v="3"/>
    <n v="28"/>
    <n v="12600"/>
    <n v="4228"/>
    <n v="398.66666666666697"/>
    <n v="299"/>
  </r>
  <r>
    <x v="0"/>
    <x v="1"/>
    <x v="1"/>
    <x v="0"/>
    <n v="60"/>
    <n v="36000"/>
    <n v="9316.5600000000013"/>
    <n v="1270.6399999999994"/>
    <n v="444.72399999999999"/>
  </r>
  <r>
    <x v="0"/>
    <x v="1"/>
    <x v="2"/>
    <x v="1"/>
    <n v="12"/>
    <n v="4500"/>
    <n v="1872"/>
    <n v="125.14285714285734"/>
    <n v="219"/>
  </r>
  <r>
    <x v="0"/>
    <x v="1"/>
    <x v="4"/>
    <x v="2"/>
    <n v="68"/>
    <n v="39100"/>
    <n v="8568"/>
    <n v="3271.2857142857174"/>
    <n v="449"/>
  </r>
  <r>
    <x v="0"/>
    <x v="1"/>
    <x v="5"/>
    <x v="2"/>
    <n v="92"/>
    <n v="105800"/>
    <n v="28753.199999999997"/>
    <n v="8255.0142857142928"/>
    <n v="837.46521739130435"/>
  </r>
  <r>
    <x v="0"/>
    <x v="1"/>
    <x v="6"/>
    <x v="1"/>
    <n v="4"/>
    <n v="3000"/>
    <n v="1404"/>
    <n v="76"/>
    <n v="399"/>
  </r>
  <r>
    <x v="0"/>
    <x v="1"/>
    <x v="7"/>
    <x v="0"/>
    <n v="236"/>
    <n v="283200"/>
    <n v="83482.880000000005"/>
    <n v="9510.3390476190543"/>
    <n v="846.25898305084741"/>
  </r>
  <r>
    <x v="0"/>
    <x v="1"/>
    <x v="8"/>
    <x v="3"/>
    <n v="4"/>
    <n v="796"/>
    <n v="0"/>
    <n v="37.904761904761926"/>
    <n v="199"/>
  </r>
  <r>
    <x v="0"/>
    <x v="1"/>
    <x v="9"/>
    <x v="3"/>
    <n v="36"/>
    <n v="16200"/>
    <n v="5436"/>
    <n v="512.57142857142935"/>
    <n v="299"/>
  </r>
  <r>
    <x v="0"/>
    <x v="1"/>
    <x v="0"/>
    <x v="0"/>
    <n v="4"/>
    <n v="1340"/>
    <n v="224"/>
    <n v="53.14285714285711"/>
    <n v="279"/>
  </r>
  <r>
    <x v="0"/>
    <x v="1"/>
    <x v="1"/>
    <x v="0"/>
    <n v="28"/>
    <n v="16800"/>
    <n v="4228"/>
    <n v="598.66666666666788"/>
    <n v="449"/>
  </r>
  <r>
    <x v="0"/>
    <x v="1"/>
    <x v="2"/>
    <x v="1"/>
    <n v="20"/>
    <n v="7500"/>
    <n v="3120"/>
    <n v="208.57142857142844"/>
    <n v="219"/>
  </r>
  <r>
    <x v="0"/>
    <x v="1"/>
    <x v="11"/>
    <x v="1"/>
    <n v="4"/>
    <n v="660"/>
    <n v="104"/>
    <n v="26.476190476190482"/>
    <n v="139"/>
  </r>
  <r>
    <x v="0"/>
    <x v="1"/>
    <x v="3"/>
    <x v="2"/>
    <n v="4"/>
    <n v="1196"/>
    <n v="200"/>
    <n v="106.71428571428578"/>
    <n v="249"/>
  </r>
  <r>
    <x v="0"/>
    <x v="1"/>
    <x v="4"/>
    <x v="2"/>
    <n v="28"/>
    <n v="16100"/>
    <n v="3744"/>
    <n v="1323.8571428571431"/>
    <n v="441.28571428571428"/>
  </r>
  <r>
    <x v="0"/>
    <x v="1"/>
    <x v="5"/>
    <x v="2"/>
    <n v="120"/>
    <n v="138000"/>
    <n v="36423.199999999997"/>
    <n v="10883.228571428583"/>
    <n v="846.47333333333336"/>
  </r>
  <r>
    <x v="0"/>
    <x v="1"/>
    <x v="7"/>
    <x v="0"/>
    <n v="208"/>
    <n v="249600"/>
    <n v="88076.239999999991"/>
    <n v="7691.6076190476306"/>
    <n v="776.55653846153848"/>
  </r>
  <r>
    <x v="0"/>
    <x v="1"/>
    <x v="9"/>
    <x v="3"/>
    <n v="24"/>
    <n v="10800"/>
    <n v="3624"/>
    <n v="341.71428571428623"/>
    <n v="299"/>
  </r>
  <r>
    <x v="0"/>
    <x v="1"/>
    <x v="0"/>
    <x v="0"/>
    <n v="8"/>
    <n v="2680"/>
    <n v="554.32000000000016"/>
    <n v="101.22285714285726"/>
    <n v="265.70999999999998"/>
  </r>
  <r>
    <x v="0"/>
    <x v="1"/>
    <x v="1"/>
    <x v="0"/>
    <n v="32"/>
    <n v="19200"/>
    <n v="4832"/>
    <n v="684.19047619047706"/>
    <n v="449"/>
  </r>
  <r>
    <x v="0"/>
    <x v="1"/>
    <x v="2"/>
    <x v="1"/>
    <n v="12"/>
    <n v="4500"/>
    <n v="1872"/>
    <n v="125.14285714285734"/>
    <n v="219"/>
  </r>
  <r>
    <x v="0"/>
    <x v="1"/>
    <x v="4"/>
    <x v="2"/>
    <n v="36"/>
    <n v="20700"/>
    <n v="4536"/>
    <n v="1731.8571428571449"/>
    <n v="449"/>
  </r>
  <r>
    <x v="0"/>
    <x v="1"/>
    <x v="5"/>
    <x v="2"/>
    <n v="116"/>
    <n v="133400"/>
    <n v="35219.200000000012"/>
    <n v="10519.371428571438"/>
    <n v="846.38620689655158"/>
  </r>
  <r>
    <x v="0"/>
    <x v="1"/>
    <x v="6"/>
    <x v="1"/>
    <n v="8"/>
    <n v="6000"/>
    <n v="2808"/>
    <n v="152"/>
    <n v="399"/>
  </r>
  <r>
    <x v="0"/>
    <x v="1"/>
    <x v="7"/>
    <x v="0"/>
    <n v="272"/>
    <n v="326400"/>
    <n v="95957.16"/>
    <n v="10973.468571428588"/>
    <n v="847.21632352941174"/>
  </r>
  <r>
    <x v="0"/>
    <x v="1"/>
    <x v="9"/>
    <x v="3"/>
    <n v="44"/>
    <n v="19800"/>
    <n v="6700.9599999999991"/>
    <n v="623.76380952381078"/>
    <n v="297.70545454545459"/>
  </r>
  <r>
    <x v="0"/>
    <x v="1"/>
    <x v="10"/>
    <x v="3"/>
    <n v="8"/>
    <n v="7200"/>
    <n v="3608"/>
    <n v="547.93220338983019"/>
    <n v="449"/>
  </r>
  <r>
    <x v="0"/>
    <x v="1"/>
    <x v="1"/>
    <x v="0"/>
    <n v="40"/>
    <n v="24000"/>
    <n v="6211.0400000000009"/>
    <n v="847.09333333333416"/>
    <n v="444.72399999999999"/>
  </r>
  <r>
    <x v="0"/>
    <x v="1"/>
    <x v="2"/>
    <x v="1"/>
    <n v="8"/>
    <n v="3000"/>
    <n v="1248"/>
    <n v="83.428571428571558"/>
    <n v="219"/>
  </r>
  <r>
    <x v="0"/>
    <x v="1"/>
    <x v="3"/>
    <x v="2"/>
    <n v="4"/>
    <n v="1196"/>
    <n v="200"/>
    <n v="106.71428571428578"/>
    <n v="249"/>
  </r>
  <r>
    <x v="0"/>
    <x v="1"/>
    <x v="4"/>
    <x v="2"/>
    <n v="36"/>
    <n v="20700"/>
    <n v="4752"/>
    <n v="1708.7142857142862"/>
    <n v="443"/>
  </r>
  <r>
    <x v="0"/>
    <x v="1"/>
    <x v="5"/>
    <x v="2"/>
    <n v="112"/>
    <n v="128800"/>
    <n v="34166.799999999988"/>
    <n v="10139.271428571432"/>
    <n v="844.9392857142858"/>
  </r>
  <r>
    <x v="0"/>
    <x v="1"/>
    <x v="6"/>
    <x v="1"/>
    <n v="4"/>
    <n v="3000"/>
    <n v="1404"/>
    <n v="76"/>
    <n v="399"/>
  </r>
  <r>
    <x v="0"/>
    <x v="1"/>
    <x v="7"/>
    <x v="0"/>
    <n v="148"/>
    <n v="177600"/>
    <n v="52271.44"/>
    <n v="5968.0266666666721"/>
    <n v="846.81459459459461"/>
  </r>
  <r>
    <x v="0"/>
    <x v="1"/>
    <x v="9"/>
    <x v="3"/>
    <n v="36"/>
    <n v="16200"/>
    <n v="5436"/>
    <n v="512.57142857142935"/>
    <n v="299"/>
  </r>
  <r>
    <x v="0"/>
    <x v="1"/>
    <x v="0"/>
    <x v="0"/>
    <n v="4"/>
    <n v="1340"/>
    <n v="224"/>
    <n v="53.14285714285711"/>
    <n v="279"/>
  </r>
  <r>
    <x v="0"/>
    <x v="1"/>
    <x v="1"/>
    <x v="0"/>
    <n v="24"/>
    <n v="14400"/>
    <n v="3624"/>
    <n v="513.14285714285688"/>
    <n v="449"/>
  </r>
  <r>
    <x v="0"/>
    <x v="1"/>
    <x v="2"/>
    <x v="1"/>
    <n v="24"/>
    <n v="9000"/>
    <n v="3824"/>
    <n v="246.47619047619082"/>
    <n v="215.66666666666666"/>
  </r>
  <r>
    <x v="0"/>
    <x v="1"/>
    <x v="3"/>
    <x v="2"/>
    <n v="4"/>
    <n v="1196"/>
    <n v="200"/>
    <n v="106.71428571428578"/>
    <n v="249"/>
  </r>
  <r>
    <x v="0"/>
    <x v="1"/>
    <x v="4"/>
    <x v="2"/>
    <n v="28"/>
    <n v="16100"/>
    <n v="3751"/>
    <n v="1323.1071428571431"/>
    <n v="441.03571428571428"/>
  </r>
  <r>
    <x v="0"/>
    <x v="1"/>
    <x v="5"/>
    <x v="2"/>
    <n v="104"/>
    <n v="119600"/>
    <n v="33306.48000000001"/>
    <n v="9245.7342857142939"/>
    <n v="829.74538461538452"/>
  </r>
  <r>
    <x v="0"/>
    <x v="1"/>
    <x v="7"/>
    <x v="0"/>
    <n v="140"/>
    <n v="168000"/>
    <n v="49301.72"/>
    <n v="5652.2990476190462"/>
    <n v="847.84485714285711"/>
  </r>
  <r>
    <x v="0"/>
    <x v="1"/>
    <x v="9"/>
    <x v="3"/>
    <n v="40"/>
    <n v="18000"/>
    <n v="6178.0399999999991"/>
    <n v="562.95047619047727"/>
    <n v="295.54900000000004"/>
  </r>
  <r>
    <x v="0"/>
    <x v="1"/>
    <x v="1"/>
    <x v="0"/>
    <n v="20"/>
    <n v="12000"/>
    <n v="3029.4799999999996"/>
    <n v="427.16761904761916"/>
    <n v="448.52600000000001"/>
  </r>
  <r>
    <x v="0"/>
    <x v="1"/>
    <x v="2"/>
    <x v="1"/>
    <n v="36"/>
    <n v="13500"/>
    <n v="5673.12"/>
    <n v="372.7085714285713"/>
    <n v="217.41333333333333"/>
  </r>
  <r>
    <x v="0"/>
    <x v="1"/>
    <x v="3"/>
    <x v="2"/>
    <n v="8"/>
    <n v="2392"/>
    <n v="417.84000000000015"/>
    <n v="211.51714285714297"/>
    <n v="246.76999999999998"/>
  </r>
  <r>
    <x v="0"/>
    <x v="1"/>
    <x v="4"/>
    <x v="2"/>
    <n v="52"/>
    <n v="29900"/>
    <n v="7064.32"/>
    <n v="2446.6800000000003"/>
    <n v="439.1476923076923"/>
  </r>
  <r>
    <x v="0"/>
    <x v="1"/>
    <x v="5"/>
    <x v="2"/>
    <n v="88"/>
    <n v="101200"/>
    <n v="26791.199999999997"/>
    <n v="7972.3714285714377"/>
    <n v="845.55454545454552"/>
  </r>
  <r>
    <x v="0"/>
    <x v="1"/>
    <x v="7"/>
    <x v="0"/>
    <n v="128"/>
    <n v="153600"/>
    <n v="45413.16"/>
    <n v="5151.7542857142835"/>
    <n v="845.20968749999997"/>
  </r>
  <r>
    <x v="0"/>
    <x v="1"/>
    <x v="8"/>
    <x v="3"/>
    <n v="16"/>
    <n v="3184"/>
    <n v="1694.4"/>
    <n v="70.933333333333394"/>
    <n v="93.1"/>
  </r>
  <r>
    <x v="0"/>
    <x v="1"/>
    <x v="9"/>
    <x v="3"/>
    <n v="76"/>
    <n v="34200"/>
    <n v="11761.120000000003"/>
    <n v="1068.5180952380942"/>
    <n v="295.24842105263156"/>
  </r>
  <r>
    <x v="0"/>
    <x v="1"/>
    <x v="10"/>
    <x v="3"/>
    <n v="8"/>
    <n v="7200"/>
    <n v="3627.04"/>
    <n v="545.02779661016939"/>
    <n v="446.62"/>
  </r>
  <r>
    <x v="0"/>
    <x v="1"/>
    <x v="1"/>
    <x v="0"/>
    <n v="12"/>
    <n v="7200"/>
    <n v="1840.2399999999998"/>
    <n v="255.22666666666646"/>
    <n v="446.6466666666667"/>
  </r>
  <r>
    <x v="0"/>
    <x v="1"/>
    <x v="2"/>
    <x v="1"/>
    <n v="24"/>
    <n v="9000"/>
    <n v="3801.12"/>
    <n v="247.56571428571442"/>
    <n v="216.62"/>
  </r>
  <r>
    <x v="0"/>
    <x v="1"/>
    <x v="11"/>
    <x v="1"/>
    <n v="4"/>
    <n v="660"/>
    <n v="301.72000000000003"/>
    <n v="17.060952380952415"/>
    <n v="89.57"/>
  </r>
  <r>
    <x v="0"/>
    <x v="1"/>
    <x v="3"/>
    <x v="2"/>
    <n v="12"/>
    <n v="3588"/>
    <n v="500.84000000000015"/>
    <n v="330.76714285714297"/>
    <n v="257.26333333333332"/>
  </r>
  <r>
    <x v="0"/>
    <x v="1"/>
    <x v="4"/>
    <x v="2"/>
    <n v="16"/>
    <n v="9200"/>
    <n v="2033.8400000000001"/>
    <n v="767.80285714285765"/>
    <n v="447.88499999999999"/>
  </r>
  <r>
    <x v="0"/>
    <x v="1"/>
    <x v="5"/>
    <x v="2"/>
    <n v="452"/>
    <n v="519800"/>
    <n v="440643.6"/>
    <n v="8481.0428571428638"/>
    <n v="175.124778761062"/>
  </r>
  <r>
    <x v="0"/>
    <x v="1"/>
    <x v="7"/>
    <x v="0"/>
    <n v="100"/>
    <n v="120000"/>
    <n v="34700"/>
    <n v="4061.9047619047633"/>
    <n v="853"/>
  </r>
  <r>
    <x v="0"/>
    <x v="1"/>
    <x v="8"/>
    <x v="3"/>
    <n v="8"/>
    <n v="1592"/>
    <n v="400"/>
    <n v="56.761904761904816"/>
    <n v="149"/>
  </r>
  <r>
    <x v="0"/>
    <x v="1"/>
    <x v="9"/>
    <x v="3"/>
    <n v="48"/>
    <n v="21600"/>
    <n v="7247.6000000000022"/>
    <n v="683.44761904761981"/>
    <n v="299.00833333333327"/>
  </r>
  <r>
    <x v="0"/>
    <x v="1"/>
    <x v="12"/>
    <x v="4"/>
    <n v="4"/>
    <n v="9400"/>
    <n v="2604"/>
    <n v="728.14285714285779"/>
    <n v="1699"/>
  </r>
  <r>
    <x v="0"/>
    <x v="1"/>
    <x v="1"/>
    <x v="0"/>
    <n v="28"/>
    <n v="16800"/>
    <n v="4896.5200000000004"/>
    <n v="566.83238095238084"/>
    <n v="425.12428571428569"/>
  </r>
  <r>
    <x v="0"/>
    <x v="1"/>
    <x v="2"/>
    <x v="1"/>
    <n v="20"/>
    <n v="7500"/>
    <n v="3522.76"/>
    <n v="189.39238095238125"/>
    <n v="198.86199999999999"/>
  </r>
  <r>
    <x v="0"/>
    <x v="1"/>
    <x v="11"/>
    <x v="1"/>
    <n v="4"/>
    <n v="660"/>
    <n v="144"/>
    <n v="24.571428571428612"/>
    <n v="129"/>
  </r>
  <r>
    <x v="0"/>
    <x v="1"/>
    <x v="4"/>
    <x v="2"/>
    <n v="48"/>
    <n v="27600"/>
    <n v="8020.0800000000017"/>
    <n v="2097.8485714285744"/>
    <n v="407.91499999999996"/>
  </r>
  <r>
    <x v="0"/>
    <x v="1"/>
    <x v="5"/>
    <x v="2"/>
    <n v="396"/>
    <n v="455400"/>
    <n v="338755.5199999999"/>
    <n v="12497.62285714288"/>
    <n v="294.55676767676795"/>
  </r>
  <r>
    <x v="0"/>
    <x v="1"/>
    <x v="6"/>
    <x v="1"/>
    <n v="20"/>
    <n v="15000"/>
    <n v="9229.119999999999"/>
    <n v="274.80380952380983"/>
    <n v="288.54400000000004"/>
  </r>
  <r>
    <x v="0"/>
    <x v="1"/>
    <x v="7"/>
    <x v="0"/>
    <n v="620"/>
    <n v="744000"/>
    <n v="321790.52000000025"/>
    <n v="20105.213333333319"/>
    <n v="680.9830322580641"/>
  </r>
  <r>
    <x v="0"/>
    <x v="1"/>
    <x v="8"/>
    <x v="3"/>
    <n v="12"/>
    <n v="2388"/>
    <n v="848.40000000000009"/>
    <n v="73.314285714285688"/>
    <n v="128.29999999999998"/>
  </r>
  <r>
    <x v="0"/>
    <x v="1"/>
    <x v="9"/>
    <x v="3"/>
    <n v="60"/>
    <n v="27000"/>
    <n v="9733.5200000000041"/>
    <n v="822.21333333333314"/>
    <n v="287.77466666666658"/>
  </r>
  <r>
    <x v="0"/>
    <x v="1"/>
    <x v="0"/>
    <x v="0"/>
    <n v="16"/>
    <n v="5360"/>
    <n v="2331.44"/>
    <n v="144.21714285714279"/>
    <n v="189.285"/>
  </r>
  <r>
    <x v="0"/>
    <x v="1"/>
    <x v="1"/>
    <x v="0"/>
    <n v="92"/>
    <n v="55200"/>
    <n v="21487.640000000007"/>
    <n v="1605.3504761904769"/>
    <n v="366.43869565217386"/>
  </r>
  <r>
    <x v="0"/>
    <x v="1"/>
    <x v="2"/>
    <x v="1"/>
    <n v="56"/>
    <n v="21000"/>
    <n v="10564.960000000003"/>
    <n v="496.90666666666766"/>
    <n v="186.33999999999995"/>
  </r>
  <r>
    <x v="0"/>
    <x v="1"/>
    <x v="4"/>
    <x v="2"/>
    <n v="116"/>
    <n v="66700"/>
    <n v="24260.92"/>
    <n v="4547.0442857142916"/>
    <n v="365.85413793103447"/>
  </r>
  <r>
    <x v="0"/>
    <x v="1"/>
    <x v="5"/>
    <x v="2"/>
    <n v="1096"/>
    <n v="1260400"/>
    <n v="509912.95999999961"/>
    <n v="80409.325714285835"/>
    <n v="684.75094890510979"/>
  </r>
  <r>
    <x v="0"/>
    <x v="1"/>
    <x v="6"/>
    <x v="1"/>
    <n v="84"/>
    <n v="63000"/>
    <n v="38427.240000000005"/>
    <n v="1170.1314285714288"/>
    <n v="292.5328571428571"/>
  </r>
  <r>
    <x v="0"/>
    <x v="1"/>
    <x v="7"/>
    <x v="0"/>
    <n v="3392"/>
    <n v="4070400"/>
    <n v="1836474.5199999809"/>
    <n v="106377.40380952461"/>
    <n v="658.5865212264207"/>
  </r>
  <r>
    <x v="0"/>
    <x v="1"/>
    <x v="8"/>
    <x v="3"/>
    <n v="4"/>
    <n v="796"/>
    <n v="400"/>
    <n v="18.85714285714289"/>
    <n v="99"/>
  </r>
  <r>
    <x v="0"/>
    <x v="1"/>
    <x v="9"/>
    <x v="3"/>
    <n v="264"/>
    <n v="118800"/>
    <n v="61853.92000000002"/>
    <n v="2711.718095238095"/>
    <n v="215.70484848484841"/>
  </r>
  <r>
    <x v="0"/>
    <x v="1"/>
    <x v="10"/>
    <x v="3"/>
    <n v="36"/>
    <n v="32400"/>
    <n v="18264.320000000003"/>
    <n v="2156.2901694915236"/>
    <n v="392.65777777777771"/>
  </r>
  <r>
    <x v="0"/>
    <x v="1"/>
    <x v="0"/>
    <x v="0"/>
    <n v="8"/>
    <n v="2680"/>
    <n v="1242.08"/>
    <n v="68.472380952380945"/>
    <n v="179.74"/>
  </r>
  <r>
    <x v="0"/>
    <x v="1"/>
    <x v="1"/>
    <x v="0"/>
    <n v="144"/>
    <n v="86400"/>
    <n v="35014.559999999998"/>
    <n v="2446.9257142857168"/>
    <n v="356.84333333333336"/>
  </r>
  <r>
    <x v="0"/>
    <x v="1"/>
    <x v="2"/>
    <x v="1"/>
    <n v="104"/>
    <n v="39000"/>
    <n v="23765.48"/>
    <n v="725.45333333333474"/>
    <n v="146.48576923076922"/>
  </r>
  <r>
    <x v="0"/>
    <x v="1"/>
    <x v="11"/>
    <x v="1"/>
    <n v="24"/>
    <n v="3960"/>
    <n v="1680.96"/>
    <n v="108.52571428571446"/>
    <n v="94.96"/>
  </r>
  <r>
    <x v="0"/>
    <x v="1"/>
    <x v="3"/>
    <x v="2"/>
    <n v="12"/>
    <n v="3588"/>
    <n v="1051.6800000000039"/>
    <n v="271.74857142857127"/>
    <n v="211.35999999999967"/>
  </r>
  <r>
    <x v="0"/>
    <x v="1"/>
    <x v="4"/>
    <x v="2"/>
    <n v="152"/>
    <n v="87400"/>
    <n v="31814.639999999992"/>
    <n v="5955.5742857142905"/>
    <n v="365.69315789473688"/>
  </r>
  <r>
    <x v="0"/>
    <x v="1"/>
    <x v="5"/>
    <x v="2"/>
    <n v="520"/>
    <n v="598000"/>
    <n v="218376.44000000105"/>
    <n v="40673.95285714278"/>
    <n v="730.04530769230564"/>
  </r>
  <r>
    <x v="0"/>
    <x v="1"/>
    <x v="6"/>
    <x v="1"/>
    <n v="72"/>
    <n v="54000"/>
    <n v="32656.320000000007"/>
    <n v="1016.3657142857155"/>
    <n v="296.43999999999988"/>
  </r>
  <r>
    <x v="0"/>
    <x v="1"/>
    <x v="7"/>
    <x v="0"/>
    <n v="1072"/>
    <n v="1286400"/>
    <n v="522749.67999999854"/>
    <n v="36364.300952381105"/>
    <n v="712.36037313432973"/>
  </r>
  <r>
    <x v="0"/>
    <x v="1"/>
    <x v="8"/>
    <x v="3"/>
    <n v="12"/>
    <n v="2388"/>
    <n v="1261"/>
    <n v="53.666666666666742"/>
    <n v="93.916666666666671"/>
  </r>
  <r>
    <x v="0"/>
    <x v="1"/>
    <x v="9"/>
    <x v="3"/>
    <n v="196"/>
    <n v="88200"/>
    <n v="46768.320000000022"/>
    <n v="1972.9371428571467"/>
    <n v="211.38612244897948"/>
  </r>
  <r>
    <x v="0"/>
    <x v="1"/>
    <x v="10"/>
    <x v="3"/>
    <n v="36"/>
    <n v="32400"/>
    <n v="18199"/>
    <n v="2166.2542372881344"/>
    <n v="394.47222222222223"/>
  </r>
  <r>
    <x v="0"/>
    <x v="1"/>
    <x v="0"/>
    <x v="0"/>
    <n v="28"/>
    <n v="9380"/>
    <n v="4135.6000000000004"/>
    <n v="249.73333333333358"/>
    <n v="187.29999999999998"/>
  </r>
  <r>
    <x v="0"/>
    <x v="1"/>
    <x v="1"/>
    <x v="0"/>
    <n v="248"/>
    <n v="148800"/>
    <n v="61205.639999999985"/>
    <n v="4171.1600000000035"/>
    <n v="353.20306451612907"/>
  </r>
  <r>
    <x v="0"/>
    <x v="1"/>
    <x v="2"/>
    <x v="1"/>
    <n v="44"/>
    <n v="16500"/>
    <n v="8313.68"/>
    <n v="389.82476190476245"/>
    <n v="186.05272727272725"/>
  </r>
  <r>
    <x v="0"/>
    <x v="1"/>
    <x v="11"/>
    <x v="1"/>
    <n v="4"/>
    <n v="660"/>
    <n v="304"/>
    <n v="16.952380952380963"/>
    <n v="89"/>
  </r>
  <r>
    <x v="0"/>
    <x v="1"/>
    <x v="3"/>
    <x v="2"/>
    <n v="12"/>
    <n v="3588"/>
    <n v="1061.8400000000001"/>
    <n v="270.66000000000031"/>
    <n v="210.51333333333332"/>
  </r>
  <r>
    <x v="0"/>
    <x v="1"/>
    <x v="4"/>
    <x v="2"/>
    <n v="296"/>
    <n v="170200"/>
    <n v="62335.959999999948"/>
    <n v="11556.861428571443"/>
    <n v="364.4055405405407"/>
  </r>
  <r>
    <x v="0"/>
    <x v="1"/>
    <x v="5"/>
    <x v="2"/>
    <n v="748"/>
    <n v="860200"/>
    <n v="306727.96000000229"/>
    <n v="59300.575714285544"/>
    <n v="739.93588235293817"/>
  </r>
  <r>
    <x v="0"/>
    <x v="1"/>
    <x v="6"/>
    <x v="1"/>
    <n v="160"/>
    <n v="120000"/>
    <n v="73014.760000000009"/>
    <n v="2237.392380952384"/>
    <n v="293.65774999999996"/>
  </r>
  <r>
    <x v="0"/>
    <x v="1"/>
    <x v="7"/>
    <x v="0"/>
    <n v="924"/>
    <n v="1108800"/>
    <n v="444657.11999999976"/>
    <n v="31625.851428571506"/>
    <n v="718.76935064935094"/>
  </r>
  <r>
    <x v="0"/>
    <x v="1"/>
    <x v="8"/>
    <x v="3"/>
    <n v="4"/>
    <n v="796"/>
    <n v="419.04"/>
    <n v="17.950476190476195"/>
    <n v="94.24"/>
  </r>
  <r>
    <x v="0"/>
    <x v="1"/>
    <x v="9"/>
    <x v="3"/>
    <n v="184"/>
    <n v="82800"/>
    <n v="44120.720000000008"/>
    <n v="1841.8704761904737"/>
    <n v="210.21347826086952"/>
  </r>
  <r>
    <x v="0"/>
    <x v="1"/>
    <x v="10"/>
    <x v="3"/>
    <n v="28"/>
    <n v="25200"/>
    <n v="14343.52"/>
    <n v="1656.0732203389816"/>
    <n v="387.73142857142858"/>
  </r>
  <r>
    <x v="0"/>
    <x v="1"/>
    <x v="0"/>
    <x v="0"/>
    <n v="20"/>
    <n v="6700"/>
    <n v="2845.12"/>
    <n v="183.56571428571442"/>
    <n v="192.744"/>
  </r>
  <r>
    <x v="0"/>
    <x v="1"/>
    <x v="1"/>
    <x v="0"/>
    <n v="116"/>
    <n v="69600"/>
    <n v="26987.480000000003"/>
    <n v="2029.167619047621"/>
    <n v="367.34931034482759"/>
  </r>
  <r>
    <x v="0"/>
    <x v="1"/>
    <x v="2"/>
    <x v="1"/>
    <n v="880"/>
    <n v="330000"/>
    <n v="228675.19999999987"/>
    <n v="4824.9904761904909"/>
    <n v="115.14181818181834"/>
  </r>
  <r>
    <x v="0"/>
    <x v="1"/>
    <x v="4"/>
    <x v="2"/>
    <n v="140"/>
    <n v="80500"/>
    <n v="27397.87999999999"/>
    <n v="5689.512857142865"/>
    <n v="379.30085714285724"/>
  </r>
  <r>
    <x v="0"/>
    <x v="1"/>
    <x v="5"/>
    <x v="2"/>
    <n v="368"/>
    <n v="423200"/>
    <n v="152134.83999999997"/>
    <n v="29042.695714285743"/>
    <n v="736.59010869565225"/>
  </r>
  <r>
    <x v="0"/>
    <x v="1"/>
    <x v="6"/>
    <x v="1"/>
    <n v="36"/>
    <n v="27000"/>
    <n v="15139.64"/>
    <n v="564.77904761904756"/>
    <n v="329.45444444444445"/>
  </r>
  <r>
    <x v="0"/>
    <x v="1"/>
    <x v="7"/>
    <x v="0"/>
    <n v="1104"/>
    <n v="1324800"/>
    <n v="536266.99999999849"/>
    <n v="37549.190476190532"/>
    <n v="714.25090579710286"/>
  </r>
  <r>
    <x v="0"/>
    <x v="1"/>
    <x v="8"/>
    <x v="3"/>
    <n v="8"/>
    <n v="1592"/>
    <n v="619.04"/>
    <n v="46.33142857142866"/>
    <n v="121.62"/>
  </r>
  <r>
    <x v="0"/>
    <x v="1"/>
    <x v="9"/>
    <x v="3"/>
    <n v="176"/>
    <n v="79200"/>
    <n v="30966.44000000001"/>
    <n v="2296.8361904761914"/>
    <n v="274.05431818181813"/>
  </r>
  <r>
    <x v="0"/>
    <x v="1"/>
    <x v="10"/>
    <x v="3"/>
    <n v="8"/>
    <n v="7200"/>
    <n v="3627.04"/>
    <n v="545.02779661016939"/>
    <n v="446.62"/>
  </r>
  <r>
    <x v="0"/>
    <x v="1"/>
    <x v="0"/>
    <x v="0"/>
    <n v="8"/>
    <n v="2680"/>
    <n v="1080"/>
    <n v="76.190476190476147"/>
    <n v="200"/>
  </r>
  <r>
    <x v="0"/>
    <x v="1"/>
    <x v="1"/>
    <x v="0"/>
    <n v="160"/>
    <n v="96000"/>
    <n v="36960.520000000004"/>
    <n v="2811.4038095238138"/>
    <n v="368.99674999999996"/>
  </r>
  <r>
    <x v="0"/>
    <x v="1"/>
    <x v="2"/>
    <x v="1"/>
    <n v="2400"/>
    <n v="900000"/>
    <n v="621968.72000000055"/>
    <n v="13239.584761904727"/>
    <n v="115.84636666666644"/>
  </r>
  <r>
    <x v="0"/>
    <x v="1"/>
    <x v="11"/>
    <x v="1"/>
    <n v="4"/>
    <n v="660"/>
    <n v="120"/>
    <n v="25.714285714285779"/>
    <n v="135"/>
  </r>
  <r>
    <x v="0"/>
    <x v="1"/>
    <x v="3"/>
    <x v="2"/>
    <n v="4"/>
    <n v="1196"/>
    <n v="300"/>
    <n v="96.000000000000114"/>
    <n v="224"/>
  </r>
  <r>
    <x v="0"/>
    <x v="1"/>
    <x v="4"/>
    <x v="2"/>
    <n v="128"/>
    <n v="73600"/>
    <n v="24299.119999999988"/>
    <n v="5282.2371428571496"/>
    <n v="385.16312500000009"/>
  </r>
  <r>
    <x v="0"/>
    <x v="1"/>
    <x v="5"/>
    <x v="2"/>
    <n v="384"/>
    <n v="441600"/>
    <n v="160990.24000000011"/>
    <n v="30065.33142857143"/>
    <n v="730.75458333333302"/>
  </r>
  <r>
    <x v="0"/>
    <x v="1"/>
    <x v="6"/>
    <x v="1"/>
    <n v="12"/>
    <n v="9000"/>
    <n v="4250.08"/>
    <n v="226.1866666666665"/>
    <n v="395.82666666666665"/>
  </r>
  <r>
    <x v="0"/>
    <x v="1"/>
    <x v="7"/>
    <x v="0"/>
    <n v="760"/>
    <n v="912000"/>
    <n v="369446.64000000118"/>
    <n v="25835.874285714235"/>
    <n v="713.88599999999849"/>
  </r>
  <r>
    <x v="0"/>
    <x v="1"/>
    <x v="8"/>
    <x v="3"/>
    <n v="4"/>
    <n v="796"/>
    <n v="202.79999999999995"/>
    <n v="28.247619047619082"/>
    <n v="148.30000000000001"/>
  </r>
  <r>
    <x v="0"/>
    <x v="1"/>
    <x v="9"/>
    <x v="3"/>
    <n v="76"/>
    <n v="34200"/>
    <n v="16450.720000000005"/>
    <n v="845.20380952380947"/>
    <n v="233.54315789473677"/>
  </r>
  <r>
    <x v="0"/>
    <x v="1"/>
    <x v="10"/>
    <x v="3"/>
    <n v="4"/>
    <n v="3600"/>
    <n v="1623.04"/>
    <n v="301.57016949152535"/>
    <n v="494.24"/>
  </r>
  <r>
    <x v="0"/>
    <x v="1"/>
    <x v="0"/>
    <x v="0"/>
    <n v="36"/>
    <n v="12060"/>
    <n v="4936.16"/>
    <n v="339.23047619047611"/>
    <n v="197.88444444444445"/>
  </r>
  <r>
    <x v="0"/>
    <x v="1"/>
    <x v="1"/>
    <x v="0"/>
    <n v="204"/>
    <n v="122400"/>
    <n v="47840.159999999974"/>
    <n v="3550.4685714285733"/>
    <n v="365.48941176470601"/>
  </r>
  <r>
    <x v="0"/>
    <x v="1"/>
    <x v="2"/>
    <x v="1"/>
    <n v="1664"/>
    <n v="624000"/>
    <n v="430909.04000000015"/>
    <n v="9194.8076190476131"/>
    <n v="116.04024038461529"/>
  </r>
  <r>
    <x v="0"/>
    <x v="1"/>
    <x v="4"/>
    <x v="2"/>
    <n v="124"/>
    <n v="71300"/>
    <n v="23222.87999999999"/>
    <n v="5151.1200000000026"/>
    <n v="387.71870967741944"/>
  </r>
  <r>
    <x v="0"/>
    <x v="1"/>
    <x v="5"/>
    <x v="2"/>
    <n v="316"/>
    <n v="363400"/>
    <n v="133786.39999999994"/>
    <n v="24601.457142857165"/>
    <n v="726.62531645569641"/>
  </r>
  <r>
    <x v="0"/>
    <x v="1"/>
    <x v="6"/>
    <x v="1"/>
    <n v="4"/>
    <n v="3000"/>
    <n v="1409.88"/>
    <n v="75.720000000000027"/>
    <n v="397.53"/>
  </r>
  <r>
    <x v="0"/>
    <x v="1"/>
    <x v="7"/>
    <x v="0"/>
    <n v="852"/>
    <n v="1022400"/>
    <n v="411062.32000000041"/>
    <n v="29111.318095238064"/>
    <n v="717.53248826291031"/>
  </r>
  <r>
    <x v="0"/>
    <x v="1"/>
    <x v="9"/>
    <x v="3"/>
    <n v="184"/>
    <n v="82800"/>
    <n v="42893.560000000012"/>
    <n v="1900.3066666666709"/>
    <n v="216.88282608695644"/>
  </r>
  <r>
    <x v="0"/>
    <x v="1"/>
    <x v="10"/>
    <x v="3"/>
    <n v="4"/>
    <n v="3600"/>
    <n v="1623.04"/>
    <n v="301.57016949152535"/>
    <n v="494.24"/>
  </r>
  <r>
    <x v="0"/>
    <x v="1"/>
    <x v="0"/>
    <x v="0"/>
    <n v="8"/>
    <n v="2680"/>
    <n v="1080"/>
    <n v="76.190476190476147"/>
    <n v="200"/>
  </r>
  <r>
    <x v="0"/>
    <x v="1"/>
    <x v="1"/>
    <x v="0"/>
    <n v="200"/>
    <n v="120000"/>
    <n v="46268.759999999995"/>
    <n v="3511.0114285714371"/>
    <n v="368.65620000000001"/>
  </r>
  <r>
    <x v="0"/>
    <x v="1"/>
    <x v="2"/>
    <x v="1"/>
    <n v="528"/>
    <n v="198000"/>
    <n v="136661.24000000005"/>
    <n v="2920.8933333333334"/>
    <n v="116.17189393939384"/>
  </r>
  <r>
    <x v="0"/>
    <x v="1"/>
    <x v="3"/>
    <x v="2"/>
    <n v="4"/>
    <n v="1196"/>
    <n v="317.84000000000003"/>
    <n v="94.088571428571527"/>
    <n v="219.54"/>
  </r>
  <r>
    <x v="0"/>
    <x v="1"/>
    <x v="4"/>
    <x v="2"/>
    <n v="96"/>
    <n v="55200"/>
    <n v="17923.19999999999"/>
    <n v="3993.942857142858"/>
    <n v="388.30000000000013"/>
  </r>
  <r>
    <x v="0"/>
    <x v="1"/>
    <x v="5"/>
    <x v="2"/>
    <n v="324"/>
    <n v="372600"/>
    <n v="131484.11999999994"/>
    <n v="25833.844285714324"/>
    <n v="744.18481481481501"/>
  </r>
  <r>
    <x v="0"/>
    <x v="1"/>
    <x v="6"/>
    <x v="1"/>
    <n v="8"/>
    <n v="6000"/>
    <n v="2979.04"/>
    <n v="143.85523809523829"/>
    <n v="377.62"/>
  </r>
  <r>
    <x v="0"/>
    <x v="1"/>
    <x v="7"/>
    <x v="0"/>
    <n v="636"/>
    <n v="763200"/>
    <n v="308712.2800000009"/>
    <n v="21642.272380952374"/>
    <n v="714.60333333333188"/>
  </r>
  <r>
    <x v="0"/>
    <x v="1"/>
    <x v="9"/>
    <x v="3"/>
    <n v="152"/>
    <n v="68400"/>
    <n v="34739.12000000001"/>
    <n v="1602.8990476190484"/>
    <n v="221.45315789473679"/>
  </r>
  <r>
    <x v="0"/>
    <x v="1"/>
    <x v="10"/>
    <x v="3"/>
    <n v="4"/>
    <n v="3600"/>
    <n v="1623.04"/>
    <n v="301.57016949152535"/>
    <n v="494.24"/>
  </r>
  <r>
    <x v="0"/>
    <x v="1"/>
    <x v="0"/>
    <x v="0"/>
    <n v="24"/>
    <n v="8040"/>
    <n v="3278.04"/>
    <n v="226.76000000000022"/>
    <n v="198.41499999999999"/>
  </r>
  <r>
    <x v="0"/>
    <x v="1"/>
    <x v="1"/>
    <x v="0"/>
    <n v="560"/>
    <n v="336000"/>
    <n v="217705.44"/>
    <n v="5633.0742857142905"/>
    <n v="211.2402857142857"/>
  </r>
  <r>
    <x v="0"/>
    <x v="1"/>
    <x v="2"/>
    <x v="1"/>
    <n v="200"/>
    <n v="75000"/>
    <n v="51513.080000000009"/>
    <n v="1118.4247619047637"/>
    <n v="117.43459999999996"/>
  </r>
  <r>
    <x v="0"/>
    <x v="1"/>
    <x v="4"/>
    <x v="2"/>
    <n v="100"/>
    <n v="57500"/>
    <n v="18671.080000000002"/>
    <n v="4160.2414285714331"/>
    <n v="388.28919999999999"/>
  </r>
  <r>
    <x v="0"/>
    <x v="1"/>
    <x v="5"/>
    <x v="2"/>
    <n v="356"/>
    <n v="409400"/>
    <n v="226736.31999999998"/>
    <n v="19571.108571428602"/>
    <n v="513.10022471910122"/>
  </r>
  <r>
    <x v="0"/>
    <x v="1"/>
    <x v="6"/>
    <x v="1"/>
    <n v="16"/>
    <n v="12000"/>
    <n v="5806.08"/>
    <n v="294.948571428572"/>
    <n v="387.12"/>
  </r>
  <r>
    <x v="0"/>
    <x v="1"/>
    <x v="7"/>
    <x v="0"/>
    <n v="348"/>
    <n v="417600"/>
    <n v="174879.52"/>
    <n v="11558.118095238111"/>
    <n v="697.47264367816092"/>
  </r>
  <r>
    <x v="0"/>
    <x v="1"/>
    <x v="8"/>
    <x v="3"/>
    <n v="4"/>
    <n v="796"/>
    <n v="200"/>
    <n v="28.380952380952408"/>
    <n v="149"/>
  </r>
  <r>
    <x v="0"/>
    <x v="1"/>
    <x v="9"/>
    <x v="3"/>
    <n v="80"/>
    <n v="36000"/>
    <n v="18358.600000000002"/>
    <n v="840.0666666666657"/>
    <n v="220.51749999999998"/>
  </r>
  <r>
    <x v="0"/>
    <x v="1"/>
    <x v="12"/>
    <x v="4"/>
    <n v="96"/>
    <n v="225600"/>
    <n v="171200"/>
    <n v="5828.5714285714348"/>
    <n v="566.66666666666663"/>
  </r>
  <r>
    <x v="0"/>
    <x v="1"/>
    <x v="1"/>
    <x v="0"/>
    <n v="12"/>
    <n v="7200"/>
    <n v="1983.04"/>
    <n v="248.42666666666719"/>
    <n v="434.74666666666667"/>
  </r>
  <r>
    <x v="0"/>
    <x v="1"/>
    <x v="2"/>
    <x v="1"/>
    <n v="296"/>
    <n v="111000"/>
    <n v="77167.760000000009"/>
    <n v="1611.0590476190482"/>
    <n v="114.29810810810808"/>
  </r>
  <r>
    <x v="0"/>
    <x v="1"/>
    <x v="11"/>
    <x v="1"/>
    <n v="4"/>
    <n v="660"/>
    <n v="171.44"/>
    <n v="23.26476190476194"/>
    <n v="122.14"/>
  </r>
  <r>
    <x v="0"/>
    <x v="1"/>
    <x v="4"/>
    <x v="2"/>
    <n v="8"/>
    <n v="4600"/>
    <n v="1008"/>
    <n v="384.85714285714312"/>
    <n v="449"/>
  </r>
  <r>
    <x v="0"/>
    <x v="1"/>
    <x v="5"/>
    <x v="2"/>
    <n v="192"/>
    <n v="220800"/>
    <n v="94243.56"/>
    <n v="13559.618571428582"/>
    <n v="659.14812500000005"/>
  </r>
  <r>
    <x v="0"/>
    <x v="1"/>
    <x v="7"/>
    <x v="0"/>
    <n v="520"/>
    <n v="624000"/>
    <n v="266979.83999999997"/>
    <n v="17000.960000000021"/>
    <n v="686.57723076923082"/>
  </r>
  <r>
    <x v="0"/>
    <x v="1"/>
    <x v="8"/>
    <x v="3"/>
    <n v="4"/>
    <n v="796"/>
    <n v="200"/>
    <n v="28.380952380952408"/>
    <n v="149"/>
  </r>
  <r>
    <x v="0"/>
    <x v="1"/>
    <x v="9"/>
    <x v="3"/>
    <n v="84"/>
    <n v="37800"/>
    <n v="19361.919999999998"/>
    <n v="878.00380952380874"/>
    <n v="219.50095238095241"/>
  </r>
  <r>
    <x v="0"/>
    <x v="1"/>
    <x v="10"/>
    <x v="3"/>
    <n v="4"/>
    <n v="3600"/>
    <n v="1699.04"/>
    <n v="289.97694915254237"/>
    <n v="475.24"/>
  </r>
  <r>
    <x v="0"/>
    <x v="1"/>
    <x v="12"/>
    <x v="4"/>
    <n v="384"/>
    <n v="902400"/>
    <n v="671200"/>
    <n v="24771.42857142858"/>
    <n v="602.08333333333337"/>
  </r>
  <r>
    <x v="0"/>
    <x v="1"/>
    <x v="1"/>
    <x v="0"/>
    <n v="16"/>
    <n v="9600"/>
    <n v="2416"/>
    <n v="342.09523809523853"/>
    <n v="449"/>
  </r>
  <r>
    <x v="0"/>
    <x v="1"/>
    <x v="2"/>
    <x v="1"/>
    <n v="348"/>
    <n v="130500"/>
    <n v="88899.87999999999"/>
    <n v="1980.9580952381002"/>
    <n v="119.5405747126437"/>
  </r>
  <r>
    <x v="0"/>
    <x v="1"/>
    <x v="4"/>
    <x v="2"/>
    <n v="20"/>
    <n v="11500"/>
    <n v="2736"/>
    <n v="939.00000000000091"/>
    <n v="438.2"/>
  </r>
  <r>
    <x v="0"/>
    <x v="1"/>
    <x v="5"/>
    <x v="2"/>
    <n v="36"/>
    <n v="41400"/>
    <n v="13277.760000000002"/>
    <n v="3013.0971428571465"/>
    <n v="781.17333333333329"/>
  </r>
  <r>
    <x v="0"/>
    <x v="1"/>
    <x v="7"/>
    <x v="0"/>
    <n v="380"/>
    <n v="456000"/>
    <n v="197460.99999999997"/>
    <n v="12311.380952380976"/>
    <n v="680.36578947368423"/>
  </r>
  <r>
    <x v="0"/>
    <x v="1"/>
    <x v="8"/>
    <x v="3"/>
    <n v="4"/>
    <n v="796"/>
    <n v="200"/>
    <n v="28.380952380952408"/>
    <n v="149"/>
  </r>
  <r>
    <x v="0"/>
    <x v="1"/>
    <x v="9"/>
    <x v="3"/>
    <n v="60"/>
    <n v="27000"/>
    <n v="13800"/>
    <n v="628.57142857142935"/>
    <n v="220"/>
  </r>
  <r>
    <x v="0"/>
    <x v="1"/>
    <x v="1"/>
    <x v="0"/>
    <n v="4"/>
    <n v="2400"/>
    <n v="604"/>
    <n v="85.523809523809632"/>
    <n v="449"/>
  </r>
  <r>
    <x v="0"/>
    <x v="1"/>
    <x v="2"/>
    <x v="1"/>
    <n v="936"/>
    <n v="351000"/>
    <n v="239616.55999999994"/>
    <n v="5303.9733333333425"/>
    <n v="118.99940170940178"/>
  </r>
  <r>
    <x v="0"/>
    <x v="1"/>
    <x v="4"/>
    <x v="2"/>
    <n v="16"/>
    <n v="9200"/>
    <n v="2016"/>
    <n v="769.71428571428623"/>
    <n v="449"/>
  </r>
  <r>
    <x v="0"/>
    <x v="1"/>
    <x v="5"/>
    <x v="2"/>
    <n v="104"/>
    <n v="119600"/>
    <n v="38389.320000000007"/>
    <n v="8701.1442857142974"/>
    <n v="780.87192307692305"/>
  </r>
  <r>
    <x v="0"/>
    <x v="1"/>
    <x v="6"/>
    <x v="1"/>
    <n v="4"/>
    <n v="3000"/>
    <n v="1404"/>
    <n v="76"/>
    <n v="399"/>
  </r>
  <r>
    <x v="0"/>
    <x v="1"/>
    <x v="7"/>
    <x v="0"/>
    <n v="380"/>
    <n v="456000"/>
    <n v="196411.08"/>
    <n v="12361.377142857149"/>
    <n v="683.12873684210524"/>
  </r>
  <r>
    <x v="0"/>
    <x v="1"/>
    <x v="8"/>
    <x v="3"/>
    <n v="4"/>
    <n v="796"/>
    <n v="200"/>
    <n v="28.380952380952408"/>
    <n v="149"/>
  </r>
  <r>
    <x v="0"/>
    <x v="1"/>
    <x v="9"/>
    <x v="3"/>
    <n v="112"/>
    <n v="50400"/>
    <n v="25885.759999999998"/>
    <n v="1167.344761904762"/>
    <n v="218.87714285714287"/>
  </r>
  <r>
    <x v="0"/>
    <x v="1"/>
    <x v="10"/>
    <x v="3"/>
    <n v="4"/>
    <n v="3600"/>
    <n v="1604"/>
    <n v="304.47457627118638"/>
    <n v="499"/>
  </r>
  <r>
    <x v="0"/>
    <x v="1"/>
    <x v="12"/>
    <x v="4"/>
    <n v="4"/>
    <n v="9400"/>
    <n v="2600"/>
    <n v="728.57142857142935"/>
    <n v="1700"/>
  </r>
  <r>
    <x v="0"/>
    <x v="1"/>
    <x v="0"/>
    <x v="0"/>
    <n v="4"/>
    <n v="1340"/>
    <n v="144"/>
    <n v="56.952380952380963"/>
    <n v="299"/>
  </r>
  <r>
    <x v="0"/>
    <x v="1"/>
    <x v="1"/>
    <x v="0"/>
    <n v="16"/>
    <n v="9600"/>
    <n v="2672.5599999999995"/>
    <n v="329.87809523809574"/>
    <n v="432.96500000000003"/>
  </r>
  <r>
    <x v="0"/>
    <x v="1"/>
    <x v="2"/>
    <x v="1"/>
    <n v="944"/>
    <n v="354000"/>
    <n v="241793.47999999998"/>
    <n v="5343.1676190476282"/>
    <n v="118.86283898305086"/>
  </r>
  <r>
    <x v="0"/>
    <x v="1"/>
    <x v="3"/>
    <x v="2"/>
    <n v="8"/>
    <n v="2392"/>
    <n v="600"/>
    <n v="192.00000000000023"/>
    <n v="224"/>
  </r>
  <r>
    <x v="0"/>
    <x v="1"/>
    <x v="4"/>
    <x v="2"/>
    <n v="12"/>
    <n v="6900"/>
    <n v="1672.3199999999997"/>
    <n v="560.10857142857185"/>
    <n v="435.64000000000004"/>
  </r>
  <r>
    <x v="0"/>
    <x v="1"/>
    <x v="5"/>
    <x v="2"/>
    <n v="64"/>
    <n v="73600"/>
    <n v="23526.639999999999"/>
    <n v="5365.0028571428629"/>
    <n v="782.39625000000001"/>
  </r>
  <r>
    <x v="0"/>
    <x v="1"/>
    <x v="6"/>
    <x v="1"/>
    <n v="4"/>
    <n v="3000"/>
    <n v="1404"/>
    <n v="76"/>
    <n v="399"/>
  </r>
  <r>
    <x v="0"/>
    <x v="1"/>
    <x v="7"/>
    <x v="0"/>
    <n v="440"/>
    <n v="528000"/>
    <n v="227596.03999999998"/>
    <n v="14304.950476190483"/>
    <n v="682.73627272727276"/>
  </r>
  <r>
    <x v="0"/>
    <x v="1"/>
    <x v="8"/>
    <x v="3"/>
    <n v="8"/>
    <n v="1592"/>
    <n v="400"/>
    <n v="56.761904761904816"/>
    <n v="149"/>
  </r>
  <r>
    <x v="0"/>
    <x v="1"/>
    <x v="9"/>
    <x v="3"/>
    <n v="120"/>
    <n v="54000"/>
    <n v="27600"/>
    <n v="1257.1428571428587"/>
    <n v="220"/>
  </r>
  <r>
    <x v="0"/>
    <x v="1"/>
    <x v="10"/>
    <x v="3"/>
    <n v="4"/>
    <n v="3600"/>
    <n v="1604"/>
    <n v="304.47457627118638"/>
    <n v="499"/>
  </r>
  <r>
    <x v="0"/>
    <x v="1"/>
    <x v="12"/>
    <x v="4"/>
    <n v="4"/>
    <n v="9400"/>
    <n v="2600"/>
    <n v="728.57142857142935"/>
    <n v="1700"/>
  </r>
  <r>
    <x v="0"/>
    <x v="1"/>
    <x v="2"/>
    <x v="1"/>
    <n v="368"/>
    <n v="138000"/>
    <n v="94411.16"/>
    <n v="2075.6590476190468"/>
    <n v="118.44793478260868"/>
  </r>
  <r>
    <x v="0"/>
    <x v="1"/>
    <x v="4"/>
    <x v="2"/>
    <n v="4"/>
    <n v="2300"/>
    <n v="504"/>
    <n v="192.42857142857156"/>
    <n v="449"/>
  </r>
  <r>
    <x v="0"/>
    <x v="1"/>
    <x v="5"/>
    <x v="2"/>
    <n v="104"/>
    <n v="119600"/>
    <n v="38248.44"/>
    <n v="8716.2385714285774"/>
    <n v="782.22653846153844"/>
  </r>
  <r>
    <x v="0"/>
    <x v="1"/>
    <x v="7"/>
    <x v="0"/>
    <n v="472"/>
    <n v="566400"/>
    <n v="244997.95999999996"/>
    <n v="15304.859047619044"/>
    <n v="680.93652542372888"/>
  </r>
  <r>
    <x v="0"/>
    <x v="1"/>
    <x v="9"/>
    <x v="3"/>
    <n v="88"/>
    <n v="39600"/>
    <n v="20281.919999999998"/>
    <n v="919.90857142857203"/>
    <n v="219.52363636363637"/>
  </r>
  <r>
    <x v="0"/>
    <x v="1"/>
    <x v="10"/>
    <x v="3"/>
    <n v="4"/>
    <n v="3600"/>
    <n v="1604"/>
    <n v="304.47457627118638"/>
    <n v="499"/>
  </r>
  <r>
    <x v="0"/>
    <x v="1"/>
    <x v="0"/>
    <x v="0"/>
    <n v="4"/>
    <n v="1340"/>
    <n v="144"/>
    <n v="56.952380952380963"/>
    <n v="299"/>
  </r>
  <r>
    <x v="0"/>
    <x v="1"/>
    <x v="1"/>
    <x v="0"/>
    <n v="12"/>
    <n v="7200"/>
    <n v="1812"/>
    <n v="256.57142857142844"/>
    <n v="449"/>
  </r>
  <r>
    <x v="0"/>
    <x v="1"/>
    <x v="2"/>
    <x v="1"/>
    <n v="252"/>
    <n v="94500"/>
    <n v="64465.56"/>
    <n v="1430.2114285714306"/>
    <n v="119.18428571428572"/>
  </r>
  <r>
    <x v="0"/>
    <x v="1"/>
    <x v="4"/>
    <x v="2"/>
    <n v="20"/>
    <n v="11500"/>
    <n v="2760.5200000000041"/>
    <n v="936.37285714285736"/>
    <n v="436.97399999999982"/>
  </r>
  <r>
    <x v="0"/>
    <x v="1"/>
    <x v="5"/>
    <x v="2"/>
    <n v="60"/>
    <n v="69000"/>
    <n v="22082.680000000008"/>
    <n v="5026.8557142857171"/>
    <n v="781.95533333333321"/>
  </r>
  <r>
    <x v="0"/>
    <x v="1"/>
    <x v="6"/>
    <x v="1"/>
    <n v="4"/>
    <n v="3000"/>
    <n v="1404"/>
    <n v="76"/>
    <n v="399"/>
  </r>
  <r>
    <x v="0"/>
    <x v="1"/>
    <x v="7"/>
    <x v="0"/>
    <n v="408"/>
    <n v="489600"/>
    <n v="210850.32"/>
    <n v="13273.794285714277"/>
    <n v="683.21"/>
  </r>
  <r>
    <x v="0"/>
    <x v="1"/>
    <x v="8"/>
    <x v="3"/>
    <n v="8"/>
    <n v="1592"/>
    <n v="400"/>
    <n v="56.761904761904816"/>
    <n v="149"/>
  </r>
  <r>
    <x v="0"/>
    <x v="1"/>
    <x v="9"/>
    <x v="3"/>
    <n v="80"/>
    <n v="36000"/>
    <n v="18400"/>
    <n v="838.09523809524035"/>
    <n v="220"/>
  </r>
  <r>
    <x v="0"/>
    <x v="1"/>
    <x v="1"/>
    <x v="0"/>
    <n v="4"/>
    <n v="2400"/>
    <n v="775.04"/>
    <n v="77.379047619047697"/>
    <n v="406.24"/>
  </r>
  <r>
    <x v="0"/>
    <x v="1"/>
    <x v="2"/>
    <x v="1"/>
    <n v="300"/>
    <n v="112500"/>
    <n v="76637.040000000008"/>
    <n v="1707.760000000002"/>
    <n v="119.54319999999997"/>
  </r>
  <r>
    <x v="0"/>
    <x v="1"/>
    <x v="11"/>
    <x v="1"/>
    <n v="4"/>
    <n v="660"/>
    <n v="120"/>
    <n v="25.714285714285779"/>
    <n v="135"/>
  </r>
  <r>
    <x v="0"/>
    <x v="1"/>
    <x v="4"/>
    <x v="2"/>
    <n v="12"/>
    <n v="6900"/>
    <n v="1512"/>
    <n v="577.28571428571468"/>
    <n v="449"/>
  </r>
  <r>
    <x v="0"/>
    <x v="1"/>
    <x v="5"/>
    <x v="2"/>
    <n v="96"/>
    <n v="110400"/>
    <n v="35078.680000000008"/>
    <n v="8070.1414285714272"/>
    <n v="784.59708333333322"/>
  </r>
  <r>
    <x v="0"/>
    <x v="1"/>
    <x v="7"/>
    <x v="0"/>
    <n v="500"/>
    <n v="600000"/>
    <n v="258780.99999999988"/>
    <n v="16248.523809523846"/>
    <n v="682.43800000000022"/>
  </r>
  <r>
    <x v="0"/>
    <x v="1"/>
    <x v="9"/>
    <x v="3"/>
    <n v="80"/>
    <n v="36000"/>
    <n v="18525.760000000002"/>
    <n v="832.10666666666657"/>
    <n v="218.42799999999997"/>
  </r>
  <r>
    <x v="0"/>
    <x v="1"/>
    <x v="1"/>
    <x v="0"/>
    <n v="8"/>
    <n v="4800"/>
    <n v="1208"/>
    <n v="171.04761904761926"/>
    <n v="449"/>
  </r>
  <r>
    <x v="0"/>
    <x v="1"/>
    <x v="2"/>
    <x v="1"/>
    <n v="340"/>
    <n v="127500"/>
    <n v="87271"/>
    <n v="1915.6666666666715"/>
    <n v="118.32058823529412"/>
  </r>
  <r>
    <x v="0"/>
    <x v="1"/>
    <x v="4"/>
    <x v="2"/>
    <n v="20"/>
    <n v="11500"/>
    <n v="2760.5200000000041"/>
    <n v="936.37285714285736"/>
    <n v="436.97399999999982"/>
  </r>
  <r>
    <x v="0"/>
    <x v="1"/>
    <x v="5"/>
    <x v="2"/>
    <n v="104"/>
    <n v="119600"/>
    <n v="38530.199999999997"/>
    <n v="8686.0500000000029"/>
    <n v="779.51730769230767"/>
  </r>
  <r>
    <x v="0"/>
    <x v="1"/>
    <x v="6"/>
    <x v="1"/>
    <n v="8"/>
    <n v="6000"/>
    <n v="2808"/>
    <n v="152"/>
    <n v="399"/>
  </r>
  <r>
    <x v="0"/>
    <x v="1"/>
    <x v="7"/>
    <x v="0"/>
    <n v="356"/>
    <n v="427200"/>
    <n v="184015.84"/>
    <n v="11580.198095238098"/>
    <n v="683.10157303370784"/>
  </r>
  <r>
    <x v="0"/>
    <x v="1"/>
    <x v="8"/>
    <x v="3"/>
    <n v="4"/>
    <n v="796"/>
    <n v="200"/>
    <n v="28.380952380952408"/>
    <n v="149"/>
  </r>
  <r>
    <x v="0"/>
    <x v="1"/>
    <x v="9"/>
    <x v="3"/>
    <n v="104"/>
    <n v="46800"/>
    <n v="23920"/>
    <n v="1089.5238095238092"/>
    <n v="220"/>
  </r>
  <r>
    <x v="0"/>
    <x v="1"/>
    <x v="1"/>
    <x v="0"/>
    <n v="12"/>
    <n v="7200"/>
    <n v="1812"/>
    <n v="256.57142857142844"/>
    <n v="449"/>
  </r>
  <r>
    <x v="0"/>
    <x v="1"/>
    <x v="2"/>
    <x v="1"/>
    <n v="384"/>
    <n v="144000"/>
    <n v="98102.720000000001"/>
    <n v="2185.5847619047636"/>
    <n v="119.52416666666666"/>
  </r>
  <r>
    <x v="0"/>
    <x v="1"/>
    <x v="3"/>
    <x v="2"/>
    <n v="8"/>
    <n v="2392"/>
    <n v="600"/>
    <n v="192.00000000000023"/>
    <n v="224"/>
  </r>
  <r>
    <x v="0"/>
    <x v="1"/>
    <x v="4"/>
    <x v="2"/>
    <n v="12"/>
    <n v="6900"/>
    <n v="1672.3600000000042"/>
    <n v="560.10428571428565"/>
    <n v="435.63666666666631"/>
  </r>
  <r>
    <x v="0"/>
    <x v="1"/>
    <x v="5"/>
    <x v="2"/>
    <n v="124"/>
    <n v="142600"/>
    <n v="45609.36"/>
    <n v="10391.854285714289"/>
    <n v="782.18258064516124"/>
  </r>
  <r>
    <x v="0"/>
    <x v="1"/>
    <x v="7"/>
    <x v="0"/>
    <n v="424"/>
    <n v="508800"/>
    <n v="218763.83999999997"/>
    <n v="13811.245714285702"/>
    <n v="684.04754716981142"/>
  </r>
  <r>
    <x v="0"/>
    <x v="1"/>
    <x v="9"/>
    <x v="3"/>
    <n v="116"/>
    <n v="52200"/>
    <n v="26805.759999999998"/>
    <n v="1209.2495238095253"/>
    <n v="218.91586206896554"/>
  </r>
  <r>
    <x v="0"/>
    <x v="1"/>
    <x v="10"/>
    <x v="3"/>
    <n v="8"/>
    <n v="7200"/>
    <n v="3303.04"/>
    <n v="594.45152542372853"/>
    <n v="487.12"/>
  </r>
  <r>
    <x v="0"/>
    <x v="1"/>
    <x v="1"/>
    <x v="0"/>
    <n v="20"/>
    <n v="12000"/>
    <n v="3020"/>
    <n v="427.61904761904771"/>
    <n v="449"/>
  </r>
  <r>
    <x v="0"/>
    <x v="1"/>
    <x v="2"/>
    <x v="1"/>
    <n v="436"/>
    <n v="163500"/>
    <n v="111499.76000000001"/>
    <n v="2476.2019047619033"/>
    <n v="119.26660550458713"/>
  </r>
  <r>
    <x v="0"/>
    <x v="1"/>
    <x v="3"/>
    <x v="2"/>
    <n v="8"/>
    <n v="2392"/>
    <n v="600"/>
    <n v="192.00000000000023"/>
    <n v="224"/>
  </r>
  <r>
    <x v="0"/>
    <x v="1"/>
    <x v="4"/>
    <x v="2"/>
    <n v="12"/>
    <n v="6900"/>
    <n v="1512"/>
    <n v="577.28571428571468"/>
    <n v="449"/>
  </r>
  <r>
    <x v="0"/>
    <x v="1"/>
    <x v="5"/>
    <x v="2"/>
    <n v="80"/>
    <n v="92000"/>
    <n v="29302.680000000008"/>
    <n v="6717.570000000007"/>
    <n v="783.71649999999988"/>
  </r>
  <r>
    <x v="0"/>
    <x v="1"/>
    <x v="7"/>
    <x v="0"/>
    <n v="536"/>
    <n v="643200"/>
    <n v="282295.27999999991"/>
    <n v="17185.93904761906"/>
    <n v="673.32970149253742"/>
  </r>
  <r>
    <x v="0"/>
    <x v="1"/>
    <x v="9"/>
    <x v="3"/>
    <n v="136"/>
    <n v="61200"/>
    <n v="31363.84"/>
    <n v="1420.7695238095257"/>
    <n v="219.3835294117647"/>
  </r>
  <r>
    <x v="0"/>
    <x v="1"/>
    <x v="1"/>
    <x v="0"/>
    <n v="8"/>
    <n v="4800"/>
    <n v="1208"/>
    <n v="171.04761904761926"/>
    <n v="449"/>
  </r>
  <r>
    <x v="0"/>
    <x v="1"/>
    <x v="2"/>
    <x v="1"/>
    <n v="312"/>
    <n v="117000"/>
    <n v="79948.44"/>
    <n v="1764.3600000000006"/>
    <n v="118.755"/>
  </r>
  <r>
    <x v="0"/>
    <x v="1"/>
    <x v="3"/>
    <x v="2"/>
    <n v="4"/>
    <n v="1196"/>
    <n v="300"/>
    <n v="96.000000000000114"/>
    <n v="224"/>
  </r>
  <r>
    <x v="0"/>
    <x v="1"/>
    <x v="4"/>
    <x v="2"/>
    <n v="28"/>
    <n v="16100"/>
    <n v="3728"/>
    <n v="1325.5714285714294"/>
    <n v="441.85714285714283"/>
  </r>
  <r>
    <x v="0"/>
    <x v="1"/>
    <x v="5"/>
    <x v="2"/>
    <n v="100"/>
    <n v="115000"/>
    <n v="35360.880000000005"/>
    <n v="8532.762857142865"/>
    <n v="796.39119999999991"/>
  </r>
  <r>
    <x v="0"/>
    <x v="1"/>
    <x v="6"/>
    <x v="1"/>
    <n v="12"/>
    <n v="9000"/>
    <n v="4212"/>
    <n v="228"/>
    <n v="399"/>
  </r>
  <r>
    <x v="0"/>
    <x v="1"/>
    <x v="7"/>
    <x v="0"/>
    <n v="360"/>
    <n v="432000"/>
    <n v="185141.15999999997"/>
    <n v="11755.182857142878"/>
    <n v="685.71900000000005"/>
  </r>
  <r>
    <x v="0"/>
    <x v="1"/>
    <x v="9"/>
    <x v="3"/>
    <n v="120"/>
    <n v="54000"/>
    <n v="27368"/>
    <n v="1268.1904761904771"/>
    <n v="221.93333333333334"/>
  </r>
  <r>
    <x v="1"/>
    <x v="1"/>
    <x v="2"/>
    <x v="1"/>
    <n v="120"/>
    <n v="45000"/>
    <n v="28760"/>
    <n v="773.33333333333394"/>
    <n v="135.33333333333334"/>
  </r>
  <r>
    <x v="1"/>
    <x v="1"/>
    <x v="11"/>
    <x v="1"/>
    <n v="20"/>
    <n v="3300"/>
    <n v="1980"/>
    <n v="62.85714285714289"/>
    <n v="66"/>
  </r>
  <r>
    <x v="1"/>
    <x v="1"/>
    <x v="1"/>
    <x v="0"/>
    <n v="8"/>
    <n v="4800"/>
    <n v="1056"/>
    <n v="178.28571428571422"/>
    <n v="468"/>
  </r>
  <r>
    <x v="1"/>
    <x v="1"/>
    <x v="4"/>
    <x v="2"/>
    <n v="4"/>
    <n v="2300"/>
    <n v="504"/>
    <n v="192.42857142857156"/>
    <n v="449"/>
  </r>
  <r>
    <x v="1"/>
    <x v="1"/>
    <x v="8"/>
    <x v="3"/>
    <n v="44"/>
    <n v="8756"/>
    <n v="4400"/>
    <n v="207.42857142857156"/>
    <n v="99"/>
  </r>
  <r>
    <x v="1"/>
    <x v="1"/>
    <x v="10"/>
    <x v="3"/>
    <n v="20"/>
    <n v="18000"/>
    <n v="9200"/>
    <n v="1342.3728813559319"/>
    <n v="440"/>
  </r>
  <r>
    <x v="1"/>
    <x v="1"/>
    <x v="2"/>
    <x v="1"/>
    <n v="80"/>
    <n v="30000"/>
    <n v="19200"/>
    <n v="514.28571428571558"/>
    <n v="135"/>
  </r>
  <r>
    <x v="1"/>
    <x v="1"/>
    <x v="11"/>
    <x v="1"/>
    <n v="64"/>
    <n v="10560"/>
    <n v="6228"/>
    <n v="206.28571428571468"/>
    <n v="67.6875"/>
  </r>
  <r>
    <x v="1"/>
    <x v="1"/>
    <x v="1"/>
    <x v="0"/>
    <n v="4"/>
    <n v="2400"/>
    <n v="624"/>
    <n v="84.571428571428669"/>
    <n v="444"/>
  </r>
  <r>
    <x v="1"/>
    <x v="1"/>
    <x v="0"/>
    <x v="0"/>
    <n v="4"/>
    <n v="1340"/>
    <n v="324"/>
    <n v="48.380952380952408"/>
    <n v="254"/>
  </r>
  <r>
    <x v="1"/>
    <x v="1"/>
    <x v="8"/>
    <x v="3"/>
    <n v="36"/>
    <n v="7164"/>
    <n v="3640"/>
    <n v="167.80952380952385"/>
    <n v="97.888888888888886"/>
  </r>
  <r>
    <x v="1"/>
    <x v="1"/>
    <x v="9"/>
    <x v="3"/>
    <n v="4"/>
    <n v="1800"/>
    <n v="184"/>
    <n v="76.952380952380963"/>
    <n v="404"/>
  </r>
  <r>
    <x v="1"/>
    <x v="1"/>
    <x v="10"/>
    <x v="3"/>
    <n v="12"/>
    <n v="10800"/>
    <n v="5472"/>
    <n v="812.74576271186379"/>
    <n v="444"/>
  </r>
  <r>
    <x v="1"/>
    <x v="1"/>
    <x v="2"/>
    <x v="1"/>
    <n v="60"/>
    <n v="22500"/>
    <n v="14400"/>
    <n v="385.71428571428623"/>
    <n v="135"/>
  </r>
  <r>
    <x v="1"/>
    <x v="1"/>
    <x v="11"/>
    <x v="1"/>
    <n v="40"/>
    <n v="6600"/>
    <n v="3952"/>
    <n v="126.09523809523807"/>
    <n v="66.2"/>
  </r>
  <r>
    <x v="1"/>
    <x v="1"/>
    <x v="1"/>
    <x v="0"/>
    <n v="16"/>
    <n v="9600"/>
    <n v="2568"/>
    <n v="334.85714285714312"/>
    <n v="439.5"/>
  </r>
  <r>
    <x v="1"/>
    <x v="1"/>
    <x v="0"/>
    <x v="0"/>
    <n v="4"/>
    <n v="1340"/>
    <n v="324"/>
    <n v="48.380952380952408"/>
    <n v="254"/>
  </r>
  <r>
    <x v="1"/>
    <x v="1"/>
    <x v="4"/>
    <x v="2"/>
    <n v="4"/>
    <n v="2300"/>
    <n v="544"/>
    <n v="188.14285714285734"/>
    <n v="439"/>
  </r>
  <r>
    <x v="1"/>
    <x v="1"/>
    <x v="7"/>
    <x v="0"/>
    <n v="4"/>
    <n v="4800"/>
    <n v="804"/>
    <n v="190.28571428571422"/>
    <n v="999"/>
  </r>
  <r>
    <x v="1"/>
    <x v="1"/>
    <x v="8"/>
    <x v="3"/>
    <n v="48"/>
    <n v="9552"/>
    <n v="4768"/>
    <n v="227.80952380952385"/>
    <n v="99.666666666666671"/>
  </r>
  <r>
    <x v="1"/>
    <x v="1"/>
    <x v="10"/>
    <x v="3"/>
    <n v="16"/>
    <n v="14400"/>
    <n v="7336"/>
    <n v="1077.5593220338978"/>
    <n v="441.5"/>
  </r>
  <r>
    <x v="1"/>
    <x v="1"/>
    <x v="2"/>
    <x v="1"/>
    <n v="1748"/>
    <n v="655500"/>
    <n v="443280"/>
    <n v="10105.71428571429"/>
    <n v="121.40732265446225"/>
  </r>
  <r>
    <x v="1"/>
    <x v="1"/>
    <x v="11"/>
    <x v="1"/>
    <n v="76"/>
    <n v="12540"/>
    <n v="7476"/>
    <n v="241.14285714285779"/>
    <n v="66.631578947368425"/>
  </r>
  <r>
    <x v="1"/>
    <x v="1"/>
    <x v="0"/>
    <x v="0"/>
    <n v="4"/>
    <n v="1340"/>
    <n v="344"/>
    <n v="47.428571428571445"/>
    <n v="249"/>
  </r>
  <r>
    <x v="1"/>
    <x v="1"/>
    <x v="4"/>
    <x v="2"/>
    <n v="12"/>
    <n v="6900"/>
    <n v="1612"/>
    <n v="566.57142857142935"/>
    <n v="440.66666666666669"/>
  </r>
  <r>
    <x v="1"/>
    <x v="1"/>
    <x v="5"/>
    <x v="2"/>
    <n v="8"/>
    <n v="9200"/>
    <n v="2248"/>
    <n v="744.85714285714312"/>
    <n v="869"/>
  </r>
  <r>
    <x v="1"/>
    <x v="1"/>
    <x v="8"/>
    <x v="3"/>
    <n v="60"/>
    <n v="11940"/>
    <n v="5956"/>
    <n v="284.95238095238165"/>
    <n v="99.733333333333334"/>
  </r>
  <r>
    <x v="1"/>
    <x v="1"/>
    <x v="9"/>
    <x v="3"/>
    <n v="12"/>
    <n v="5400"/>
    <n v="612"/>
    <n v="228"/>
    <n v="399"/>
  </r>
  <r>
    <x v="1"/>
    <x v="1"/>
    <x v="10"/>
    <x v="3"/>
    <n v="8"/>
    <n v="7200"/>
    <n v="3608"/>
    <n v="547.93220338983019"/>
    <n v="449"/>
  </r>
  <r>
    <x v="1"/>
    <x v="1"/>
    <x v="2"/>
    <x v="1"/>
    <n v="336"/>
    <n v="126000"/>
    <n v="83068"/>
    <n v="2044.3809523809541"/>
    <n v="127.77380952380952"/>
  </r>
  <r>
    <x v="1"/>
    <x v="1"/>
    <x v="11"/>
    <x v="1"/>
    <n v="20"/>
    <n v="3300"/>
    <n v="1980"/>
    <n v="62.85714285714289"/>
    <n v="66"/>
  </r>
  <r>
    <x v="1"/>
    <x v="1"/>
    <x v="1"/>
    <x v="0"/>
    <n v="4"/>
    <n v="2400"/>
    <n v="644"/>
    <n v="83.619047619047706"/>
    <n v="439"/>
  </r>
  <r>
    <x v="1"/>
    <x v="1"/>
    <x v="8"/>
    <x v="3"/>
    <n v="36"/>
    <n v="7164"/>
    <n v="3640"/>
    <n v="167.80952380952385"/>
    <n v="97.888888888888886"/>
  </r>
  <r>
    <x v="1"/>
    <x v="1"/>
    <x v="9"/>
    <x v="3"/>
    <n v="4"/>
    <n v="1800"/>
    <n v="500"/>
    <n v="61.904761904761926"/>
    <n v="325"/>
  </r>
  <r>
    <x v="1"/>
    <x v="1"/>
    <x v="10"/>
    <x v="3"/>
    <n v="28"/>
    <n v="25200"/>
    <n v="12900"/>
    <n v="1876.2711864406774"/>
    <n v="439.28571428571428"/>
  </r>
  <r>
    <x v="1"/>
    <x v="1"/>
    <x v="2"/>
    <x v="1"/>
    <n v="168"/>
    <n v="63000"/>
    <n v="38936"/>
    <n v="1145.9047619047633"/>
    <n v="143.23809523809524"/>
  </r>
  <r>
    <x v="1"/>
    <x v="1"/>
    <x v="11"/>
    <x v="1"/>
    <n v="20"/>
    <n v="3300"/>
    <n v="1908"/>
    <n v="66.285714285714448"/>
    <n v="69.599999999999994"/>
  </r>
  <r>
    <x v="1"/>
    <x v="1"/>
    <x v="1"/>
    <x v="0"/>
    <n v="8"/>
    <n v="4800"/>
    <n v="1188"/>
    <n v="172"/>
    <n v="451.5"/>
  </r>
  <r>
    <x v="1"/>
    <x v="1"/>
    <x v="5"/>
    <x v="2"/>
    <n v="4"/>
    <n v="4600"/>
    <n v="1140"/>
    <n v="370.71428571428623"/>
    <n v="865"/>
  </r>
  <r>
    <x v="1"/>
    <x v="1"/>
    <x v="8"/>
    <x v="3"/>
    <n v="96"/>
    <n v="19104"/>
    <n v="9576"/>
    <n v="453.71428571428623"/>
    <n v="99.25"/>
  </r>
  <r>
    <x v="1"/>
    <x v="1"/>
    <x v="9"/>
    <x v="3"/>
    <n v="4"/>
    <n v="1800"/>
    <n v="500"/>
    <n v="61.904761904761926"/>
    <n v="325"/>
  </r>
  <r>
    <x v="1"/>
    <x v="1"/>
    <x v="10"/>
    <x v="3"/>
    <n v="28"/>
    <n v="25200"/>
    <n v="12720"/>
    <n v="1903.7288135593208"/>
    <n v="445.71428571428572"/>
  </r>
  <r>
    <x v="1"/>
    <x v="1"/>
    <x v="2"/>
    <x v="1"/>
    <n v="164"/>
    <n v="61500"/>
    <n v="38168"/>
    <n v="1111.0476190476184"/>
    <n v="142.26829268292684"/>
  </r>
  <r>
    <x v="1"/>
    <x v="1"/>
    <x v="1"/>
    <x v="0"/>
    <n v="8"/>
    <n v="4800"/>
    <n v="1188"/>
    <n v="172"/>
    <n v="451.5"/>
  </r>
  <r>
    <x v="1"/>
    <x v="1"/>
    <x v="5"/>
    <x v="2"/>
    <n v="4"/>
    <n v="4600"/>
    <n v="1120"/>
    <n v="372.85714285714312"/>
    <n v="870"/>
  </r>
  <r>
    <x v="1"/>
    <x v="1"/>
    <x v="8"/>
    <x v="3"/>
    <n v="96"/>
    <n v="19104"/>
    <n v="9560"/>
    <n v="454.47619047619082"/>
    <n v="99.416666666666671"/>
  </r>
  <r>
    <x v="1"/>
    <x v="1"/>
    <x v="10"/>
    <x v="3"/>
    <n v="16"/>
    <n v="14400"/>
    <n v="7236"/>
    <n v="1092.8135593220331"/>
    <n v="447.75"/>
  </r>
  <r>
    <x v="1"/>
    <x v="1"/>
    <x v="2"/>
    <x v="1"/>
    <n v="184"/>
    <n v="69000"/>
    <n v="42668"/>
    <n v="1253.9047619047633"/>
    <n v="143.10869565217391"/>
  </r>
  <r>
    <x v="1"/>
    <x v="1"/>
    <x v="11"/>
    <x v="1"/>
    <n v="20"/>
    <n v="3300"/>
    <n v="1976"/>
    <n v="63.047619047619037"/>
    <n v="66.2"/>
  </r>
  <r>
    <x v="1"/>
    <x v="1"/>
    <x v="0"/>
    <x v="0"/>
    <n v="4"/>
    <n v="1340"/>
    <n v="324"/>
    <n v="48.380952380952408"/>
    <n v="254"/>
  </r>
  <r>
    <x v="1"/>
    <x v="1"/>
    <x v="5"/>
    <x v="2"/>
    <n v="8"/>
    <n v="9200"/>
    <n v="2320"/>
    <n v="737.14285714285779"/>
    <n v="860"/>
  </r>
  <r>
    <x v="1"/>
    <x v="1"/>
    <x v="8"/>
    <x v="3"/>
    <n v="36"/>
    <n v="7164"/>
    <n v="3580"/>
    <n v="170.66666666666697"/>
    <n v="99.555555555555557"/>
  </r>
  <r>
    <x v="1"/>
    <x v="1"/>
    <x v="10"/>
    <x v="3"/>
    <n v="4"/>
    <n v="3600"/>
    <n v="1844"/>
    <n v="267.86440677966084"/>
    <n v="439"/>
  </r>
  <r>
    <x v="1"/>
    <x v="1"/>
    <x v="2"/>
    <x v="1"/>
    <n v="164"/>
    <n v="61500"/>
    <n v="38064"/>
    <n v="1116"/>
    <n v="142.90243902439025"/>
  </r>
  <r>
    <x v="1"/>
    <x v="1"/>
    <x v="11"/>
    <x v="1"/>
    <n v="20"/>
    <n v="3300"/>
    <n v="2000"/>
    <n v="61.904761904761926"/>
    <n v="65"/>
  </r>
  <r>
    <x v="1"/>
    <x v="1"/>
    <x v="0"/>
    <x v="0"/>
    <n v="4"/>
    <n v="1340"/>
    <n v="344"/>
    <n v="47.428571428571445"/>
    <n v="249"/>
  </r>
  <r>
    <x v="1"/>
    <x v="1"/>
    <x v="4"/>
    <x v="2"/>
    <n v="4"/>
    <n v="2300"/>
    <n v="484"/>
    <n v="194.57142857142867"/>
    <n v="454"/>
  </r>
  <r>
    <x v="1"/>
    <x v="1"/>
    <x v="7"/>
    <x v="0"/>
    <n v="4"/>
    <n v="4800"/>
    <n v="1216"/>
    <n v="170.66666666666697"/>
    <n v="896"/>
  </r>
  <r>
    <x v="1"/>
    <x v="1"/>
    <x v="6"/>
    <x v="1"/>
    <n v="4"/>
    <n v="3000"/>
    <n v="1408"/>
    <n v="75.809523809523853"/>
    <n v="398"/>
  </r>
  <r>
    <x v="1"/>
    <x v="1"/>
    <x v="8"/>
    <x v="3"/>
    <n v="36"/>
    <n v="7164"/>
    <n v="3600"/>
    <n v="169.71428571428578"/>
    <n v="99"/>
  </r>
  <r>
    <x v="1"/>
    <x v="1"/>
    <x v="10"/>
    <x v="3"/>
    <n v="8"/>
    <n v="7200"/>
    <n v="3648"/>
    <n v="541.83050847457616"/>
    <n v="444"/>
  </r>
  <r>
    <x v="1"/>
    <x v="1"/>
    <x v="2"/>
    <x v="1"/>
    <n v="296"/>
    <n v="111000"/>
    <n v="68652"/>
    <n v="2016.5714285714275"/>
    <n v="143.06756756756758"/>
  </r>
  <r>
    <x v="1"/>
    <x v="1"/>
    <x v="1"/>
    <x v="0"/>
    <n v="4"/>
    <n v="2400"/>
    <n v="404"/>
    <n v="95.047619047619037"/>
    <n v="499"/>
  </r>
  <r>
    <x v="1"/>
    <x v="1"/>
    <x v="0"/>
    <x v="0"/>
    <n v="4"/>
    <n v="1340"/>
    <n v="344"/>
    <n v="47.428571428571445"/>
    <n v="249"/>
  </r>
  <r>
    <x v="1"/>
    <x v="1"/>
    <x v="8"/>
    <x v="3"/>
    <n v="72"/>
    <n v="14328"/>
    <n v="7180"/>
    <n v="340.38095238095229"/>
    <n v="99.277777777777771"/>
  </r>
  <r>
    <x v="1"/>
    <x v="1"/>
    <x v="9"/>
    <x v="3"/>
    <n v="4"/>
    <n v="1800"/>
    <n v="500"/>
    <n v="61.904761904761926"/>
    <n v="325"/>
  </r>
  <r>
    <x v="1"/>
    <x v="1"/>
    <x v="10"/>
    <x v="3"/>
    <n v="8"/>
    <n v="7200"/>
    <n v="3708"/>
    <n v="532.67796610169489"/>
    <n v="436.5"/>
  </r>
  <r>
    <x v="1"/>
    <x v="1"/>
    <x v="2"/>
    <x v="1"/>
    <n v="256"/>
    <n v="96000"/>
    <n v="61800"/>
    <n v="1628.5714285714312"/>
    <n v="133.59375"/>
  </r>
  <r>
    <x v="1"/>
    <x v="1"/>
    <x v="11"/>
    <x v="1"/>
    <n v="12"/>
    <n v="1980"/>
    <n v="948"/>
    <n v="49.142857142857224"/>
    <n v="86"/>
  </r>
  <r>
    <x v="1"/>
    <x v="1"/>
    <x v="8"/>
    <x v="3"/>
    <n v="24"/>
    <n v="4776"/>
    <n v="2400"/>
    <n v="113.14285714285734"/>
    <n v="99"/>
  </r>
  <r>
    <x v="1"/>
    <x v="1"/>
    <x v="9"/>
    <x v="3"/>
    <n v="4"/>
    <n v="1800"/>
    <n v="500"/>
    <n v="61.904761904761926"/>
    <n v="325"/>
  </r>
  <r>
    <x v="1"/>
    <x v="1"/>
    <x v="10"/>
    <x v="3"/>
    <n v="12"/>
    <n v="10800"/>
    <n v="5532"/>
    <n v="803.59322033898297"/>
    <n v="439"/>
  </r>
  <r>
    <x v="1"/>
    <x v="1"/>
    <x v="2"/>
    <x v="1"/>
    <n v="184"/>
    <n v="69000"/>
    <n v="45928"/>
    <n v="1098.6666666666679"/>
    <n v="125.39130434782609"/>
  </r>
  <r>
    <x v="1"/>
    <x v="1"/>
    <x v="1"/>
    <x v="0"/>
    <n v="4"/>
    <n v="2400"/>
    <n v="432"/>
    <n v="93.714285714285779"/>
    <n v="492"/>
  </r>
  <r>
    <x v="1"/>
    <x v="1"/>
    <x v="4"/>
    <x v="2"/>
    <n v="4"/>
    <n v="2300"/>
    <n v="304"/>
    <n v="213.85714285714312"/>
    <n v="499"/>
  </r>
  <r>
    <x v="1"/>
    <x v="1"/>
    <x v="7"/>
    <x v="0"/>
    <n v="4"/>
    <n v="4800"/>
    <n v="1004"/>
    <n v="180.76190476190504"/>
    <n v="949"/>
  </r>
  <r>
    <x v="1"/>
    <x v="1"/>
    <x v="6"/>
    <x v="1"/>
    <n v="4"/>
    <n v="3000"/>
    <n v="1204"/>
    <n v="85.523809523809632"/>
    <n v="449"/>
  </r>
  <r>
    <x v="1"/>
    <x v="1"/>
    <x v="8"/>
    <x v="3"/>
    <n v="36"/>
    <n v="7164"/>
    <n v="3628"/>
    <n v="168.38095238095275"/>
    <n v="98.222222222222229"/>
  </r>
  <r>
    <x v="1"/>
    <x v="1"/>
    <x v="9"/>
    <x v="3"/>
    <n v="12"/>
    <n v="5400"/>
    <n v="1460"/>
    <n v="187.61904761904771"/>
    <n v="328.33333333333331"/>
  </r>
  <r>
    <x v="1"/>
    <x v="1"/>
    <x v="10"/>
    <x v="3"/>
    <n v="12"/>
    <n v="10800"/>
    <n v="5524"/>
    <n v="804.81355932203405"/>
    <n v="439.66666666666669"/>
  </r>
  <r>
    <x v="1"/>
    <x v="1"/>
    <x v="2"/>
    <x v="1"/>
    <n v="396"/>
    <n v="148500"/>
    <n v="105416"/>
    <n v="2051.6190476190459"/>
    <n v="108.79797979797979"/>
  </r>
  <r>
    <x v="1"/>
    <x v="1"/>
    <x v="11"/>
    <x v="1"/>
    <n v="24"/>
    <n v="3960"/>
    <n v="1860"/>
    <n v="100"/>
    <n v="87.5"/>
  </r>
  <r>
    <x v="1"/>
    <x v="1"/>
    <x v="1"/>
    <x v="0"/>
    <n v="32"/>
    <n v="19200"/>
    <n v="7772"/>
    <n v="544.19047619047706"/>
    <n v="357.125"/>
  </r>
  <r>
    <x v="1"/>
    <x v="1"/>
    <x v="0"/>
    <x v="0"/>
    <n v="4"/>
    <n v="1340"/>
    <n v="140"/>
    <n v="57.14285714285711"/>
    <n v="300"/>
  </r>
  <r>
    <x v="1"/>
    <x v="1"/>
    <x v="4"/>
    <x v="2"/>
    <n v="16"/>
    <n v="9200"/>
    <n v="2504"/>
    <n v="717.42857142857156"/>
    <n v="418.5"/>
  </r>
  <r>
    <x v="1"/>
    <x v="1"/>
    <x v="5"/>
    <x v="2"/>
    <n v="4"/>
    <n v="4600"/>
    <n v="1444"/>
    <n v="338.14285714285734"/>
    <n v="789"/>
  </r>
  <r>
    <x v="1"/>
    <x v="1"/>
    <x v="7"/>
    <x v="0"/>
    <n v="152"/>
    <n v="182400"/>
    <n v="84192"/>
    <n v="4676.5714285714348"/>
    <n v="646.10526315789468"/>
  </r>
  <r>
    <x v="1"/>
    <x v="1"/>
    <x v="8"/>
    <x v="3"/>
    <n v="24"/>
    <n v="4776"/>
    <n v="2380"/>
    <n v="114.09523809523807"/>
    <n v="99.833333333333329"/>
  </r>
  <r>
    <x v="1"/>
    <x v="1"/>
    <x v="9"/>
    <x v="3"/>
    <n v="32"/>
    <n v="14400"/>
    <n v="6468"/>
    <n v="377.71428571428623"/>
    <n v="247.875"/>
  </r>
  <r>
    <x v="1"/>
    <x v="1"/>
    <x v="10"/>
    <x v="3"/>
    <n v="56"/>
    <n v="50400"/>
    <n v="28048"/>
    <n v="3409.6271186440681"/>
    <n v="399.14285714285717"/>
  </r>
  <r>
    <x v="1"/>
    <x v="1"/>
    <x v="2"/>
    <x v="1"/>
    <n v="636"/>
    <n v="238500"/>
    <n v="172204"/>
    <n v="3156.9523809523816"/>
    <n v="104.23899371069183"/>
  </r>
  <r>
    <x v="1"/>
    <x v="1"/>
    <x v="11"/>
    <x v="1"/>
    <n v="12"/>
    <n v="1980"/>
    <n v="892"/>
    <n v="51.809523809523853"/>
    <n v="90.666666666666671"/>
  </r>
  <r>
    <x v="1"/>
    <x v="1"/>
    <x v="1"/>
    <x v="0"/>
    <n v="60"/>
    <n v="36000"/>
    <n v="14224"/>
    <n v="1036.9523809523816"/>
    <n v="362.93333333333334"/>
  </r>
  <r>
    <x v="1"/>
    <x v="1"/>
    <x v="4"/>
    <x v="2"/>
    <n v="16"/>
    <n v="9200"/>
    <n v="2928"/>
    <n v="672.00000000000091"/>
    <n v="392"/>
  </r>
  <r>
    <x v="1"/>
    <x v="1"/>
    <x v="5"/>
    <x v="2"/>
    <n v="12"/>
    <n v="13800"/>
    <n v="5012"/>
    <n v="941.57142857142935"/>
    <n v="732.33333333333337"/>
  </r>
  <r>
    <x v="1"/>
    <x v="1"/>
    <x v="7"/>
    <x v="0"/>
    <n v="168"/>
    <n v="201600"/>
    <n v="90336"/>
    <n v="5298.2857142857247"/>
    <n v="662.28571428571433"/>
  </r>
  <r>
    <x v="1"/>
    <x v="1"/>
    <x v="8"/>
    <x v="3"/>
    <n v="36"/>
    <n v="7164"/>
    <n v="3580"/>
    <n v="170.66666666666697"/>
    <n v="99.555555555555557"/>
  </r>
  <r>
    <x v="1"/>
    <x v="1"/>
    <x v="9"/>
    <x v="3"/>
    <n v="60"/>
    <n v="27000"/>
    <n v="13824"/>
    <n v="627.42857142857247"/>
    <n v="219.6"/>
  </r>
  <r>
    <x v="1"/>
    <x v="1"/>
    <x v="10"/>
    <x v="3"/>
    <n v="56"/>
    <n v="50400"/>
    <n v="28556"/>
    <n v="3332.1355932203369"/>
    <n v="390.07142857142856"/>
  </r>
  <r>
    <x v="1"/>
    <x v="1"/>
    <x v="2"/>
    <x v="1"/>
    <n v="336"/>
    <n v="126000"/>
    <n v="89316"/>
    <n v="1746.8571428571449"/>
    <n v="109.17857142857143"/>
  </r>
  <r>
    <x v="1"/>
    <x v="1"/>
    <x v="11"/>
    <x v="1"/>
    <n v="12"/>
    <n v="1980"/>
    <n v="948"/>
    <n v="49.142857142857224"/>
    <n v="86"/>
  </r>
  <r>
    <x v="1"/>
    <x v="1"/>
    <x v="1"/>
    <x v="0"/>
    <n v="116"/>
    <n v="69600"/>
    <n v="27564"/>
    <n v="2001.7142857142899"/>
    <n v="362.37931034482756"/>
  </r>
  <r>
    <x v="1"/>
    <x v="1"/>
    <x v="4"/>
    <x v="2"/>
    <n v="8"/>
    <n v="4600"/>
    <n v="1464"/>
    <n v="336.00000000000045"/>
    <n v="392"/>
  </r>
  <r>
    <x v="1"/>
    <x v="1"/>
    <x v="5"/>
    <x v="2"/>
    <n v="4"/>
    <n v="4600"/>
    <n v="1444"/>
    <n v="338.14285714285734"/>
    <n v="789"/>
  </r>
  <r>
    <x v="1"/>
    <x v="1"/>
    <x v="7"/>
    <x v="0"/>
    <n v="108"/>
    <n v="129600"/>
    <n v="58200"/>
    <n v="3400"/>
    <n v="661.11111111111109"/>
  </r>
  <r>
    <x v="1"/>
    <x v="1"/>
    <x v="6"/>
    <x v="1"/>
    <n v="4"/>
    <n v="3000"/>
    <n v="1184"/>
    <n v="86.476190476190595"/>
    <n v="454"/>
  </r>
  <r>
    <x v="1"/>
    <x v="1"/>
    <x v="8"/>
    <x v="3"/>
    <n v="12"/>
    <n v="2388"/>
    <n v="1188"/>
    <n v="57.14285714285711"/>
    <n v="100"/>
  </r>
  <r>
    <x v="1"/>
    <x v="1"/>
    <x v="9"/>
    <x v="3"/>
    <n v="44"/>
    <n v="19800"/>
    <n v="10052"/>
    <n v="464.19047619047706"/>
    <n v="221.54545454545453"/>
  </r>
  <r>
    <x v="1"/>
    <x v="1"/>
    <x v="10"/>
    <x v="3"/>
    <n v="36"/>
    <n v="32400"/>
    <n v="18412"/>
    <n v="2133.7627118644068"/>
    <n v="388.55555555555554"/>
  </r>
  <r>
    <x v="1"/>
    <x v="1"/>
    <x v="2"/>
    <x v="1"/>
    <n v="308"/>
    <n v="115500"/>
    <n v="83412"/>
    <n v="1528"/>
    <n v="104.18181818181819"/>
  </r>
  <r>
    <x v="1"/>
    <x v="1"/>
    <x v="11"/>
    <x v="1"/>
    <n v="36"/>
    <n v="5940"/>
    <n v="2824"/>
    <n v="148.38095238095229"/>
    <n v="86.555555555555557"/>
  </r>
  <r>
    <x v="1"/>
    <x v="1"/>
    <x v="1"/>
    <x v="0"/>
    <n v="96"/>
    <n v="57600"/>
    <n v="22668"/>
    <n v="1663.4285714285725"/>
    <n v="363.875"/>
  </r>
  <r>
    <x v="1"/>
    <x v="1"/>
    <x v="4"/>
    <x v="2"/>
    <n v="8"/>
    <n v="4600"/>
    <n v="1504"/>
    <n v="331.71428571428578"/>
    <n v="387"/>
  </r>
  <r>
    <x v="1"/>
    <x v="1"/>
    <x v="5"/>
    <x v="2"/>
    <n v="8"/>
    <n v="9200"/>
    <n v="2848"/>
    <n v="680.57142857142935"/>
    <n v="794"/>
  </r>
  <r>
    <x v="1"/>
    <x v="1"/>
    <x v="7"/>
    <x v="0"/>
    <n v="96"/>
    <n v="115200"/>
    <n v="50328"/>
    <n v="3089.1428571428623"/>
    <n v="675.75"/>
  </r>
  <r>
    <x v="1"/>
    <x v="1"/>
    <x v="8"/>
    <x v="3"/>
    <n v="24"/>
    <n v="4776"/>
    <n v="2400"/>
    <n v="113.14285714285734"/>
    <n v="99"/>
  </r>
  <r>
    <x v="1"/>
    <x v="1"/>
    <x v="9"/>
    <x v="3"/>
    <n v="80"/>
    <n v="36000"/>
    <n v="18336"/>
    <n v="841.1428571428587"/>
    <n v="220.8"/>
  </r>
  <r>
    <x v="1"/>
    <x v="1"/>
    <x v="10"/>
    <x v="3"/>
    <n v="32"/>
    <n v="28800"/>
    <n v="16272"/>
    <n v="1911.0508474576272"/>
    <n v="391.5"/>
  </r>
  <r>
    <x v="1"/>
    <x v="1"/>
    <x v="2"/>
    <x v="1"/>
    <n v="396"/>
    <n v="148500"/>
    <n v="107480"/>
    <n v="1953.3333333333358"/>
    <n v="103.58585858585859"/>
  </r>
  <r>
    <x v="1"/>
    <x v="1"/>
    <x v="1"/>
    <x v="0"/>
    <n v="36"/>
    <n v="21600"/>
    <n v="8356"/>
    <n v="630.66666666666788"/>
    <n v="367.88888888888891"/>
  </r>
  <r>
    <x v="1"/>
    <x v="1"/>
    <x v="3"/>
    <x v="2"/>
    <n v="8"/>
    <n v="2392"/>
    <n v="192"/>
    <n v="235.71428571428601"/>
    <n v="275"/>
  </r>
  <r>
    <x v="1"/>
    <x v="1"/>
    <x v="4"/>
    <x v="2"/>
    <n v="4"/>
    <n v="2300"/>
    <n v="732"/>
    <n v="168.00000000000023"/>
    <n v="392"/>
  </r>
  <r>
    <x v="1"/>
    <x v="1"/>
    <x v="5"/>
    <x v="2"/>
    <n v="8"/>
    <n v="9200"/>
    <n v="2996"/>
    <n v="664.71428571428623"/>
    <n v="775.5"/>
  </r>
  <r>
    <x v="1"/>
    <x v="1"/>
    <x v="7"/>
    <x v="0"/>
    <n v="128"/>
    <n v="153600"/>
    <n v="66316"/>
    <n v="4156.3809523809614"/>
    <n v="681.90625"/>
  </r>
  <r>
    <x v="1"/>
    <x v="1"/>
    <x v="8"/>
    <x v="3"/>
    <n v="36"/>
    <n v="7164"/>
    <n v="3580"/>
    <n v="170.66666666666697"/>
    <n v="99.555555555555557"/>
  </r>
  <r>
    <x v="1"/>
    <x v="1"/>
    <x v="9"/>
    <x v="3"/>
    <n v="52"/>
    <n v="23400"/>
    <n v="11856"/>
    <n v="549.71428571428623"/>
    <n v="222"/>
  </r>
  <r>
    <x v="1"/>
    <x v="1"/>
    <x v="10"/>
    <x v="3"/>
    <n v="28"/>
    <n v="25200"/>
    <n v="14136"/>
    <n v="1687.7288135593208"/>
    <n v="395.14285714285717"/>
  </r>
  <r>
    <x v="1"/>
    <x v="1"/>
    <x v="2"/>
    <x v="1"/>
    <n v="340"/>
    <n v="127500"/>
    <n v="91532"/>
    <n v="1712.7619047619082"/>
    <n v="105.78823529411764"/>
  </r>
  <r>
    <x v="1"/>
    <x v="1"/>
    <x v="1"/>
    <x v="0"/>
    <n v="52"/>
    <n v="31200"/>
    <n v="12212"/>
    <n v="904.19047619047706"/>
    <n v="365.15384615384613"/>
  </r>
  <r>
    <x v="1"/>
    <x v="1"/>
    <x v="4"/>
    <x v="2"/>
    <n v="20"/>
    <n v="11500"/>
    <n v="3976"/>
    <n v="806.14285714285779"/>
    <n v="376.2"/>
  </r>
  <r>
    <x v="1"/>
    <x v="1"/>
    <x v="5"/>
    <x v="2"/>
    <n v="8"/>
    <n v="9200"/>
    <n v="2772"/>
    <n v="688.71428571428623"/>
    <n v="803.5"/>
  </r>
  <r>
    <x v="1"/>
    <x v="1"/>
    <x v="7"/>
    <x v="0"/>
    <n v="160"/>
    <n v="192000"/>
    <n v="88680"/>
    <n v="4920"/>
    <n v="645.75"/>
  </r>
  <r>
    <x v="1"/>
    <x v="1"/>
    <x v="8"/>
    <x v="3"/>
    <n v="12"/>
    <n v="2388"/>
    <n v="1200"/>
    <n v="56.571428571428669"/>
    <n v="99"/>
  </r>
  <r>
    <x v="1"/>
    <x v="1"/>
    <x v="9"/>
    <x v="3"/>
    <n v="56"/>
    <n v="25200"/>
    <n v="12820"/>
    <n v="589.52380952380918"/>
    <n v="221.07142857142858"/>
  </r>
  <r>
    <x v="1"/>
    <x v="1"/>
    <x v="10"/>
    <x v="3"/>
    <n v="36"/>
    <n v="32400"/>
    <n v="18392"/>
    <n v="2136.8135593220341"/>
    <n v="389.11111111111109"/>
  </r>
  <r>
    <x v="1"/>
    <x v="1"/>
    <x v="2"/>
    <x v="1"/>
    <n v="384"/>
    <n v="144000"/>
    <n v="103976"/>
    <n v="1905.9047619047633"/>
    <n v="104.22916666666667"/>
  </r>
  <r>
    <x v="1"/>
    <x v="1"/>
    <x v="1"/>
    <x v="0"/>
    <n v="60"/>
    <n v="36000"/>
    <n v="14200"/>
    <n v="1038.0952380952403"/>
    <n v="363.33333333333331"/>
  </r>
  <r>
    <x v="1"/>
    <x v="1"/>
    <x v="4"/>
    <x v="2"/>
    <n v="4"/>
    <n v="2300"/>
    <n v="712"/>
    <n v="170.14285714285734"/>
    <n v="397"/>
  </r>
  <r>
    <x v="1"/>
    <x v="1"/>
    <x v="7"/>
    <x v="0"/>
    <n v="124"/>
    <n v="148800"/>
    <n v="65452"/>
    <n v="3968.9523809523816"/>
    <n v="672.16129032258061"/>
  </r>
  <r>
    <x v="1"/>
    <x v="1"/>
    <x v="6"/>
    <x v="1"/>
    <n v="4"/>
    <n v="3000"/>
    <n v="1244"/>
    <n v="83.619047619047706"/>
    <n v="439"/>
  </r>
  <r>
    <x v="1"/>
    <x v="1"/>
    <x v="8"/>
    <x v="3"/>
    <n v="24"/>
    <n v="4776"/>
    <n v="2380"/>
    <n v="114.09523809523807"/>
    <n v="99.833333333333329"/>
  </r>
  <r>
    <x v="1"/>
    <x v="1"/>
    <x v="9"/>
    <x v="3"/>
    <n v="56"/>
    <n v="25200"/>
    <n v="12888"/>
    <n v="586.28571428571558"/>
    <n v="219.85714285714286"/>
  </r>
  <r>
    <x v="1"/>
    <x v="1"/>
    <x v="10"/>
    <x v="3"/>
    <n v="40"/>
    <n v="36000"/>
    <n v="20440"/>
    <n v="2373.5593220338978"/>
    <n v="389"/>
  </r>
  <r>
    <x v="1"/>
    <x v="1"/>
    <x v="2"/>
    <x v="1"/>
    <n v="296"/>
    <n v="111000"/>
    <n v="81324"/>
    <n v="1413.1428571428587"/>
    <n v="100.25675675675676"/>
  </r>
  <r>
    <x v="1"/>
    <x v="1"/>
    <x v="1"/>
    <x v="0"/>
    <n v="124"/>
    <n v="74400"/>
    <n v="32820"/>
    <n v="1980"/>
    <n v="335.32258064516128"/>
  </r>
  <r>
    <x v="1"/>
    <x v="1"/>
    <x v="4"/>
    <x v="2"/>
    <n v="32"/>
    <n v="18400"/>
    <n v="6776"/>
    <n v="1245.4285714285725"/>
    <n v="363.25"/>
  </r>
  <r>
    <x v="1"/>
    <x v="1"/>
    <x v="5"/>
    <x v="2"/>
    <n v="4"/>
    <n v="4600"/>
    <n v="1444"/>
    <n v="338.14285714285734"/>
    <n v="789"/>
  </r>
  <r>
    <x v="1"/>
    <x v="1"/>
    <x v="7"/>
    <x v="0"/>
    <n v="32"/>
    <n v="38400"/>
    <n v="15584"/>
    <n v="1086.4761904761908"/>
    <n v="713"/>
  </r>
  <r>
    <x v="1"/>
    <x v="1"/>
    <x v="8"/>
    <x v="3"/>
    <n v="12"/>
    <n v="2388"/>
    <n v="1180"/>
    <n v="57.523809523809632"/>
    <n v="100.66666666666667"/>
  </r>
  <r>
    <x v="1"/>
    <x v="1"/>
    <x v="9"/>
    <x v="3"/>
    <n v="32"/>
    <n v="14400"/>
    <n v="7480"/>
    <n v="329.52380952381009"/>
    <n v="216.25"/>
  </r>
  <r>
    <x v="1"/>
    <x v="1"/>
    <x v="10"/>
    <x v="3"/>
    <n v="24"/>
    <n v="21600"/>
    <n v="12196"/>
    <n v="1434.5084745762706"/>
    <n v="391.83333333333331"/>
  </r>
  <r>
    <x v="1"/>
    <x v="1"/>
    <x v="2"/>
    <x v="1"/>
    <n v="208"/>
    <n v="78000"/>
    <n v="56908"/>
    <n v="1004.3809523809541"/>
    <n v="101.40384615384616"/>
  </r>
  <r>
    <x v="1"/>
    <x v="1"/>
    <x v="1"/>
    <x v="0"/>
    <n v="32"/>
    <n v="19200"/>
    <n v="7392"/>
    <n v="562.28571428571558"/>
    <n v="369"/>
  </r>
  <r>
    <x v="1"/>
    <x v="1"/>
    <x v="0"/>
    <x v="0"/>
    <n v="4"/>
    <n v="1340"/>
    <n v="124"/>
    <n v="57.904761904761926"/>
    <n v="304"/>
  </r>
  <r>
    <x v="1"/>
    <x v="1"/>
    <x v="4"/>
    <x v="2"/>
    <n v="20"/>
    <n v="11500"/>
    <n v="3964"/>
    <n v="807.42857142857247"/>
    <n v="376.8"/>
  </r>
  <r>
    <x v="1"/>
    <x v="1"/>
    <x v="6"/>
    <x v="1"/>
    <n v="4"/>
    <n v="3000"/>
    <n v="1536"/>
    <n v="69.714285714285779"/>
    <n v="366"/>
  </r>
  <r>
    <x v="1"/>
    <x v="1"/>
    <x v="8"/>
    <x v="3"/>
    <n v="24"/>
    <n v="4776"/>
    <n v="2380"/>
    <n v="114.09523809523807"/>
    <n v="99.833333333333329"/>
  </r>
  <r>
    <x v="1"/>
    <x v="1"/>
    <x v="9"/>
    <x v="3"/>
    <n v="48"/>
    <n v="21600"/>
    <n v="10888"/>
    <n v="510.09523809523853"/>
    <n v="223.16666666666666"/>
  </r>
  <r>
    <x v="1"/>
    <x v="1"/>
    <x v="10"/>
    <x v="3"/>
    <n v="20"/>
    <n v="18000"/>
    <n v="10120"/>
    <n v="1202.0338983050842"/>
    <n v="394"/>
  </r>
  <r>
    <x v="1"/>
    <x v="1"/>
    <x v="2"/>
    <x v="1"/>
    <n v="276"/>
    <n v="103500"/>
    <n v="75324"/>
    <n v="1341.7142857142862"/>
    <n v="102.08695652173913"/>
  </r>
  <r>
    <x v="1"/>
    <x v="1"/>
    <x v="11"/>
    <x v="1"/>
    <n v="12"/>
    <n v="1980"/>
    <n v="948"/>
    <n v="49.142857142857224"/>
    <n v="86"/>
  </r>
  <r>
    <x v="1"/>
    <x v="1"/>
    <x v="1"/>
    <x v="0"/>
    <n v="24"/>
    <n v="14400"/>
    <n v="5084"/>
    <n v="443.61904761904771"/>
    <n v="388.16666666666669"/>
  </r>
  <r>
    <x v="1"/>
    <x v="1"/>
    <x v="4"/>
    <x v="2"/>
    <n v="16"/>
    <n v="9200"/>
    <n v="2956"/>
    <n v="669.00000000000091"/>
    <n v="390.25"/>
  </r>
  <r>
    <x v="1"/>
    <x v="1"/>
    <x v="8"/>
    <x v="3"/>
    <n v="12"/>
    <n v="2388"/>
    <n v="1200"/>
    <n v="56.571428571428669"/>
    <n v="99"/>
  </r>
  <r>
    <x v="1"/>
    <x v="1"/>
    <x v="9"/>
    <x v="3"/>
    <n v="24"/>
    <n v="10800"/>
    <n v="5456"/>
    <n v="254.47619047619082"/>
    <n v="222.66666666666666"/>
  </r>
  <r>
    <x v="1"/>
    <x v="1"/>
    <x v="10"/>
    <x v="3"/>
    <n v="8"/>
    <n v="7200"/>
    <n v="4008"/>
    <n v="486.91525423728808"/>
    <n v="399"/>
  </r>
  <r>
    <x v="1"/>
    <x v="1"/>
    <x v="2"/>
    <x v="1"/>
    <n v="516"/>
    <n v="193500"/>
    <n v="140488"/>
    <n v="2524.3809523809541"/>
    <n v="102.73643410852713"/>
  </r>
  <r>
    <x v="1"/>
    <x v="1"/>
    <x v="1"/>
    <x v="0"/>
    <n v="16"/>
    <n v="9600"/>
    <n v="3036"/>
    <n v="312.57142857142844"/>
    <n v="410.25"/>
  </r>
  <r>
    <x v="1"/>
    <x v="1"/>
    <x v="6"/>
    <x v="1"/>
    <n v="4"/>
    <n v="3000"/>
    <n v="1204"/>
    <n v="85.523809523809632"/>
    <n v="449"/>
  </r>
  <r>
    <x v="1"/>
    <x v="1"/>
    <x v="8"/>
    <x v="3"/>
    <n v="24"/>
    <n v="4776"/>
    <n v="2360"/>
    <n v="115.04761904761926"/>
    <n v="100.66666666666667"/>
  </r>
  <r>
    <x v="1"/>
    <x v="1"/>
    <x v="9"/>
    <x v="3"/>
    <n v="32"/>
    <n v="14400"/>
    <n v="7420"/>
    <n v="332.38095238095229"/>
    <n v="218.125"/>
  </r>
  <r>
    <x v="1"/>
    <x v="1"/>
    <x v="10"/>
    <x v="3"/>
    <n v="28"/>
    <n v="25200"/>
    <n v="14768"/>
    <n v="1591.3220338983047"/>
    <n v="372.57142857142856"/>
  </r>
  <r>
    <x v="1"/>
    <x v="1"/>
    <x v="2"/>
    <x v="1"/>
    <n v="196"/>
    <n v="73500"/>
    <n v="51092"/>
    <n v="1067.0476190476184"/>
    <n v="114.32653061224489"/>
  </r>
  <r>
    <x v="1"/>
    <x v="1"/>
    <x v="4"/>
    <x v="2"/>
    <n v="8"/>
    <n v="4600"/>
    <n v="1268"/>
    <n v="357.00000000000045"/>
    <n v="416.5"/>
  </r>
  <r>
    <x v="1"/>
    <x v="1"/>
    <x v="8"/>
    <x v="3"/>
    <n v="12"/>
    <n v="2388"/>
    <n v="1180"/>
    <n v="57.523809523809632"/>
    <n v="100.66666666666667"/>
  </r>
  <r>
    <x v="1"/>
    <x v="1"/>
    <x v="9"/>
    <x v="3"/>
    <n v="36"/>
    <n v="16200"/>
    <n v="8576"/>
    <n v="363.04761904761926"/>
    <n v="211.77777777777777"/>
  </r>
  <r>
    <x v="1"/>
    <x v="1"/>
    <x v="10"/>
    <x v="3"/>
    <n v="36"/>
    <n v="32400"/>
    <n v="19196"/>
    <n v="2014.1694915254229"/>
    <n v="366.77777777777777"/>
  </r>
  <r>
    <x v="1"/>
    <x v="1"/>
    <x v="2"/>
    <x v="1"/>
    <n v="44"/>
    <n v="16500"/>
    <n v="10020"/>
    <n v="308.57142857142844"/>
    <n v="147.27272727272728"/>
  </r>
  <r>
    <x v="1"/>
    <x v="1"/>
    <x v="1"/>
    <x v="0"/>
    <n v="8"/>
    <n v="4800"/>
    <n v="1212"/>
    <n v="170.85714285714312"/>
    <n v="448.5"/>
  </r>
  <r>
    <x v="1"/>
    <x v="1"/>
    <x v="4"/>
    <x v="2"/>
    <n v="8"/>
    <n v="4600"/>
    <n v="1088"/>
    <n v="376.28571428571468"/>
    <n v="439"/>
  </r>
  <r>
    <x v="1"/>
    <x v="1"/>
    <x v="9"/>
    <x v="3"/>
    <n v="36"/>
    <n v="16200"/>
    <n v="8256"/>
    <n v="378.28571428571468"/>
    <n v="220.66666666666666"/>
  </r>
  <r>
    <x v="1"/>
    <x v="1"/>
    <x v="10"/>
    <x v="3"/>
    <n v="24"/>
    <n v="21600"/>
    <n v="12044"/>
    <n v="1457.6949152542365"/>
    <n v="398.16666666666669"/>
  </r>
  <r>
    <x v="1"/>
    <x v="1"/>
    <x v="2"/>
    <x v="1"/>
    <n v="16"/>
    <n v="6000"/>
    <n v="2472"/>
    <n v="168"/>
    <n v="220.5"/>
  </r>
  <r>
    <x v="1"/>
    <x v="1"/>
    <x v="1"/>
    <x v="0"/>
    <n v="12"/>
    <n v="7200"/>
    <n v="1824"/>
    <n v="256"/>
    <n v="448"/>
  </r>
  <r>
    <x v="1"/>
    <x v="1"/>
    <x v="4"/>
    <x v="2"/>
    <n v="4"/>
    <n v="2300"/>
    <n v="484"/>
    <n v="194.57142857142867"/>
    <n v="454"/>
  </r>
  <r>
    <x v="1"/>
    <x v="1"/>
    <x v="9"/>
    <x v="3"/>
    <n v="32"/>
    <n v="14400"/>
    <n v="7324"/>
    <n v="336.95238095238165"/>
    <n v="221.125"/>
  </r>
  <r>
    <x v="1"/>
    <x v="1"/>
    <x v="10"/>
    <x v="3"/>
    <n v="12"/>
    <n v="10800"/>
    <n v="6052"/>
    <n v="724.27118644067787"/>
    <n v="395.66666666666669"/>
  </r>
  <r>
    <x v="1"/>
    <x v="1"/>
    <x v="2"/>
    <x v="1"/>
    <n v="8"/>
    <n v="3000"/>
    <n v="1156"/>
    <n v="87.809523809523853"/>
    <n v="230.5"/>
  </r>
  <r>
    <x v="1"/>
    <x v="1"/>
    <x v="1"/>
    <x v="0"/>
    <n v="8"/>
    <n v="4800"/>
    <n v="1248"/>
    <n v="169.14285714285734"/>
    <n v="444"/>
  </r>
  <r>
    <x v="1"/>
    <x v="1"/>
    <x v="3"/>
    <x v="2"/>
    <n v="4"/>
    <n v="1196"/>
    <n v="112"/>
    <n v="116.14285714285722"/>
    <n v="271"/>
  </r>
  <r>
    <x v="1"/>
    <x v="1"/>
    <x v="4"/>
    <x v="2"/>
    <n v="4"/>
    <n v="2300"/>
    <n v="524"/>
    <n v="190.28571428571445"/>
    <n v="444"/>
  </r>
  <r>
    <x v="1"/>
    <x v="1"/>
    <x v="7"/>
    <x v="0"/>
    <n v="12"/>
    <n v="14400"/>
    <n v="3692"/>
    <n v="509.90476190476147"/>
    <n v="892.33333333333337"/>
  </r>
  <r>
    <x v="1"/>
    <x v="1"/>
    <x v="8"/>
    <x v="3"/>
    <n v="36"/>
    <n v="7164"/>
    <n v="3592"/>
    <n v="170.09523809523807"/>
    <n v="99.222222222222229"/>
  </r>
  <r>
    <x v="1"/>
    <x v="1"/>
    <x v="9"/>
    <x v="3"/>
    <n v="28"/>
    <n v="12600"/>
    <n v="6416"/>
    <n v="294.47619047619082"/>
    <n v="220.85714285714286"/>
  </r>
  <r>
    <x v="1"/>
    <x v="1"/>
    <x v="10"/>
    <x v="3"/>
    <n v="16"/>
    <n v="14400"/>
    <n v="8096"/>
    <n v="961.6271186440672"/>
    <n v="394"/>
  </r>
  <r>
    <x v="1"/>
    <x v="1"/>
    <x v="1"/>
    <x v="0"/>
    <n v="4"/>
    <n v="2400"/>
    <n v="584"/>
    <n v="86.476190476190595"/>
    <n v="454"/>
  </r>
  <r>
    <x v="1"/>
    <x v="1"/>
    <x v="0"/>
    <x v="0"/>
    <n v="4"/>
    <n v="1340"/>
    <n v="124"/>
    <n v="57.904761904761926"/>
    <n v="304"/>
  </r>
  <r>
    <x v="1"/>
    <x v="1"/>
    <x v="8"/>
    <x v="3"/>
    <n v="36"/>
    <n v="7164"/>
    <n v="3580"/>
    <n v="170.66666666666697"/>
    <n v="99.555555555555557"/>
  </r>
  <r>
    <x v="1"/>
    <x v="1"/>
    <x v="9"/>
    <x v="3"/>
    <n v="48"/>
    <n v="21600"/>
    <n v="10960"/>
    <n v="506.66666666666788"/>
    <n v="221.66666666666666"/>
  </r>
  <r>
    <x v="1"/>
    <x v="1"/>
    <x v="10"/>
    <x v="3"/>
    <n v="16"/>
    <n v="14400"/>
    <n v="8036"/>
    <n v="970.77966101694892"/>
    <n v="397.75"/>
  </r>
  <r>
    <x v="1"/>
    <x v="1"/>
    <x v="2"/>
    <x v="1"/>
    <n v="8"/>
    <n v="3000"/>
    <n v="1312"/>
    <n v="80.380952380952522"/>
    <n v="211"/>
  </r>
  <r>
    <x v="1"/>
    <x v="1"/>
    <x v="1"/>
    <x v="0"/>
    <n v="16"/>
    <n v="9600"/>
    <n v="2556"/>
    <n v="335.42857142857156"/>
    <n v="440.25"/>
  </r>
  <r>
    <x v="1"/>
    <x v="1"/>
    <x v="0"/>
    <x v="0"/>
    <n v="4"/>
    <n v="1340"/>
    <n v="132"/>
    <n v="57.523809523809632"/>
    <n v="302"/>
  </r>
  <r>
    <x v="1"/>
    <x v="1"/>
    <x v="8"/>
    <x v="3"/>
    <n v="108"/>
    <n v="21492"/>
    <n v="10696"/>
    <n v="514.09523809523853"/>
    <n v="99.962962962962962"/>
  </r>
  <r>
    <x v="1"/>
    <x v="1"/>
    <x v="9"/>
    <x v="3"/>
    <n v="52"/>
    <n v="23400"/>
    <n v="11836"/>
    <n v="550.66666666666788"/>
    <n v="222.38461538461539"/>
  </r>
  <r>
    <x v="1"/>
    <x v="1"/>
    <x v="10"/>
    <x v="3"/>
    <n v="36"/>
    <n v="32400"/>
    <n v="18256"/>
    <n v="2157.5593220338978"/>
    <n v="392.88888888888891"/>
  </r>
  <r>
    <x v="1"/>
    <x v="1"/>
    <x v="2"/>
    <x v="1"/>
    <n v="8"/>
    <n v="3000"/>
    <n v="1292"/>
    <n v="81.333333333333485"/>
    <n v="213.5"/>
  </r>
  <r>
    <x v="1"/>
    <x v="1"/>
    <x v="1"/>
    <x v="0"/>
    <n v="4"/>
    <n v="2400"/>
    <n v="584"/>
    <n v="86.476190476190595"/>
    <n v="454"/>
  </r>
  <r>
    <x v="1"/>
    <x v="1"/>
    <x v="5"/>
    <x v="2"/>
    <n v="4"/>
    <n v="4600"/>
    <n v="1044"/>
    <n v="381.00000000000045"/>
    <n v="889"/>
  </r>
  <r>
    <x v="1"/>
    <x v="1"/>
    <x v="8"/>
    <x v="3"/>
    <n v="24"/>
    <n v="4776"/>
    <n v="2400"/>
    <n v="113.14285714285734"/>
    <n v="99"/>
  </r>
  <r>
    <x v="1"/>
    <x v="1"/>
    <x v="9"/>
    <x v="3"/>
    <n v="48"/>
    <n v="21600"/>
    <n v="10968"/>
    <n v="506.28571428571558"/>
    <n v="221.5"/>
  </r>
  <r>
    <x v="1"/>
    <x v="1"/>
    <x v="10"/>
    <x v="3"/>
    <n v="24"/>
    <n v="21600"/>
    <n v="12124"/>
    <n v="1445.4915254237285"/>
    <n v="394.83333333333331"/>
  </r>
  <r>
    <x v="1"/>
    <x v="1"/>
    <x v="2"/>
    <x v="1"/>
    <n v="16"/>
    <n v="6000"/>
    <n v="2300"/>
    <n v="176.19047619047615"/>
    <n v="231.25"/>
  </r>
  <r>
    <x v="1"/>
    <x v="1"/>
    <x v="8"/>
    <x v="3"/>
    <n v="36"/>
    <n v="7164"/>
    <n v="3580"/>
    <n v="170.66666666666697"/>
    <n v="99.555555555555557"/>
  </r>
  <r>
    <x v="1"/>
    <x v="1"/>
    <x v="9"/>
    <x v="3"/>
    <n v="44"/>
    <n v="19800"/>
    <n v="10000"/>
    <n v="466.66666666666788"/>
    <n v="222.72727272727272"/>
  </r>
  <r>
    <x v="1"/>
    <x v="1"/>
    <x v="10"/>
    <x v="3"/>
    <n v="20"/>
    <n v="18000"/>
    <n v="10180"/>
    <n v="1192.8813559322034"/>
    <n v="391"/>
  </r>
  <r>
    <x v="1"/>
    <x v="0"/>
    <x v="2"/>
    <x v="1"/>
    <n v="8"/>
    <n v="3000"/>
    <n v="1220"/>
    <n v="84.761904761904816"/>
    <n v="222.5"/>
  </r>
  <r>
    <x v="1"/>
    <x v="0"/>
    <x v="1"/>
    <x v="0"/>
    <n v="8"/>
    <n v="4800"/>
    <n v="1268"/>
    <n v="168.19047619047615"/>
    <n v="441.5"/>
  </r>
  <r>
    <x v="1"/>
    <x v="0"/>
    <x v="4"/>
    <x v="2"/>
    <n v="12"/>
    <n v="6900"/>
    <n v="1552"/>
    <n v="573"/>
    <n v="445.66666666666669"/>
  </r>
  <r>
    <x v="1"/>
    <x v="0"/>
    <x v="7"/>
    <x v="0"/>
    <n v="8"/>
    <n v="9600"/>
    <n v="2540"/>
    <n v="336.19047619047615"/>
    <n v="882.5"/>
  </r>
  <r>
    <x v="1"/>
    <x v="0"/>
    <x v="6"/>
    <x v="1"/>
    <n v="12"/>
    <n v="9000"/>
    <n v="4356"/>
    <n v="221.14285714285688"/>
    <n v="387"/>
  </r>
  <r>
    <x v="1"/>
    <x v="0"/>
    <x v="8"/>
    <x v="3"/>
    <n v="60"/>
    <n v="11940"/>
    <n v="6088"/>
    <n v="278.66666666666697"/>
    <n v="97.533333333333331"/>
  </r>
  <r>
    <x v="1"/>
    <x v="0"/>
    <x v="9"/>
    <x v="3"/>
    <n v="40"/>
    <n v="18000"/>
    <n v="9120"/>
    <n v="422.85714285714312"/>
    <n v="222"/>
  </r>
  <r>
    <x v="1"/>
    <x v="0"/>
    <x v="10"/>
    <x v="3"/>
    <n v="32"/>
    <n v="28800"/>
    <n v="16428"/>
    <n v="1887.2542372881344"/>
    <n v="386.625"/>
  </r>
  <r>
    <x v="1"/>
    <x v="0"/>
    <x v="2"/>
    <x v="1"/>
    <n v="12"/>
    <n v="4500"/>
    <n v="1952"/>
    <n v="121.33333333333348"/>
    <n v="212.33333333333334"/>
  </r>
  <r>
    <x v="1"/>
    <x v="0"/>
    <x v="1"/>
    <x v="0"/>
    <n v="8"/>
    <n v="4800"/>
    <n v="1332"/>
    <n v="165.14285714285734"/>
    <n v="433.5"/>
  </r>
  <r>
    <x v="1"/>
    <x v="0"/>
    <x v="4"/>
    <x v="2"/>
    <n v="8"/>
    <n v="4600"/>
    <n v="1120"/>
    <n v="372.85714285714312"/>
    <n v="435"/>
  </r>
  <r>
    <x v="1"/>
    <x v="0"/>
    <x v="7"/>
    <x v="0"/>
    <n v="24"/>
    <n v="28800"/>
    <n v="8328"/>
    <n v="974.85714285714494"/>
    <n v="853"/>
  </r>
  <r>
    <x v="1"/>
    <x v="0"/>
    <x v="8"/>
    <x v="3"/>
    <n v="48"/>
    <n v="9552"/>
    <n v="4960"/>
    <n v="218.66666666666697"/>
    <n v="95.666666666666671"/>
  </r>
  <r>
    <x v="1"/>
    <x v="0"/>
    <x v="9"/>
    <x v="3"/>
    <n v="60"/>
    <n v="27000"/>
    <n v="13792"/>
    <n v="628.95238095238165"/>
    <n v="220.13333333333333"/>
  </r>
  <r>
    <x v="1"/>
    <x v="0"/>
    <x v="10"/>
    <x v="3"/>
    <n v="16"/>
    <n v="14400"/>
    <n v="8176"/>
    <n v="949.42372881355914"/>
    <n v="389"/>
  </r>
  <r>
    <x v="1"/>
    <x v="0"/>
    <x v="2"/>
    <x v="1"/>
    <n v="24"/>
    <n v="9000"/>
    <n v="4624"/>
    <n v="208.38095238095229"/>
    <n v="182.33333333333334"/>
  </r>
  <r>
    <x v="1"/>
    <x v="0"/>
    <x v="1"/>
    <x v="0"/>
    <n v="8"/>
    <n v="4800"/>
    <n v="1280"/>
    <n v="167.61904761904771"/>
    <n v="440"/>
  </r>
  <r>
    <x v="1"/>
    <x v="0"/>
    <x v="4"/>
    <x v="2"/>
    <n v="8"/>
    <n v="4600"/>
    <n v="1100"/>
    <n v="375.00000000000045"/>
    <n v="437.5"/>
  </r>
  <r>
    <x v="1"/>
    <x v="0"/>
    <x v="7"/>
    <x v="0"/>
    <n v="8"/>
    <n v="9600"/>
    <n v="2944"/>
    <n v="316.95238095238165"/>
    <n v="832"/>
  </r>
  <r>
    <x v="1"/>
    <x v="0"/>
    <x v="6"/>
    <x v="1"/>
    <n v="4"/>
    <n v="3000"/>
    <n v="1504"/>
    <n v="71.238095238095411"/>
    <n v="374"/>
  </r>
  <r>
    <x v="1"/>
    <x v="0"/>
    <x v="8"/>
    <x v="3"/>
    <n v="60"/>
    <n v="11940"/>
    <n v="6228"/>
    <n v="272"/>
    <n v="95.2"/>
  </r>
  <r>
    <x v="1"/>
    <x v="0"/>
    <x v="9"/>
    <x v="3"/>
    <n v="84"/>
    <n v="37800"/>
    <n v="19340"/>
    <n v="879.04761904761835"/>
    <n v="219.76190476190476"/>
  </r>
  <r>
    <x v="1"/>
    <x v="0"/>
    <x v="2"/>
    <x v="1"/>
    <n v="48"/>
    <n v="18000"/>
    <n v="9488"/>
    <n v="405.33333333333394"/>
    <n v="177.33333333333334"/>
  </r>
  <r>
    <x v="1"/>
    <x v="0"/>
    <x v="1"/>
    <x v="0"/>
    <n v="8"/>
    <n v="4800"/>
    <n v="1284"/>
    <n v="167.42857142857156"/>
    <n v="439.5"/>
  </r>
  <r>
    <x v="1"/>
    <x v="0"/>
    <x v="4"/>
    <x v="2"/>
    <n v="4"/>
    <n v="2300"/>
    <n v="492"/>
    <n v="193.71428571428578"/>
    <n v="452"/>
  </r>
  <r>
    <x v="1"/>
    <x v="0"/>
    <x v="7"/>
    <x v="0"/>
    <n v="4"/>
    <n v="4800"/>
    <n v="1352"/>
    <n v="164.19047619047615"/>
    <n v="862"/>
  </r>
  <r>
    <x v="1"/>
    <x v="0"/>
    <x v="8"/>
    <x v="3"/>
    <n v="36"/>
    <n v="7164"/>
    <n v="3732"/>
    <n v="163.42857142857156"/>
    <n v="95.333333333333329"/>
  </r>
  <r>
    <x v="1"/>
    <x v="0"/>
    <x v="9"/>
    <x v="3"/>
    <n v="64"/>
    <n v="28800"/>
    <n v="14744"/>
    <n v="669.33333333333394"/>
    <n v="219.625"/>
  </r>
  <r>
    <x v="1"/>
    <x v="0"/>
    <x v="10"/>
    <x v="3"/>
    <n v="16"/>
    <n v="14400"/>
    <n v="8176"/>
    <n v="949.42372881355914"/>
    <n v="389"/>
  </r>
  <r>
    <x v="1"/>
    <x v="0"/>
    <x v="2"/>
    <x v="1"/>
    <n v="72"/>
    <n v="27000"/>
    <n v="14672"/>
    <n v="587.04761904762017"/>
    <n v="171.22222222222223"/>
  </r>
  <r>
    <x v="1"/>
    <x v="0"/>
    <x v="11"/>
    <x v="1"/>
    <n v="12"/>
    <n v="1980"/>
    <n v="948"/>
    <n v="49.142857142857224"/>
    <n v="86"/>
  </r>
  <r>
    <x v="1"/>
    <x v="0"/>
    <x v="4"/>
    <x v="2"/>
    <n v="12"/>
    <n v="6900"/>
    <n v="1644"/>
    <n v="563.14285714285779"/>
    <n v="438"/>
  </r>
  <r>
    <x v="1"/>
    <x v="0"/>
    <x v="5"/>
    <x v="2"/>
    <n v="4"/>
    <n v="4600"/>
    <n v="1240"/>
    <n v="360.00000000000045"/>
    <n v="840"/>
  </r>
  <r>
    <x v="1"/>
    <x v="0"/>
    <x v="7"/>
    <x v="0"/>
    <n v="8"/>
    <n v="9600"/>
    <n v="2724"/>
    <n v="327.42857142857156"/>
    <n v="859.5"/>
  </r>
  <r>
    <x v="1"/>
    <x v="0"/>
    <x v="6"/>
    <x v="1"/>
    <n v="12"/>
    <n v="9000"/>
    <n v="4172"/>
    <n v="229.90476190476238"/>
    <n v="402.33333333333331"/>
  </r>
  <r>
    <x v="1"/>
    <x v="0"/>
    <x v="8"/>
    <x v="3"/>
    <n v="36"/>
    <n v="7164"/>
    <n v="3732"/>
    <n v="163.42857142857156"/>
    <n v="95.333333333333329"/>
  </r>
  <r>
    <x v="1"/>
    <x v="0"/>
    <x v="9"/>
    <x v="3"/>
    <n v="68"/>
    <n v="30600"/>
    <n v="15712"/>
    <n v="708.95238095238165"/>
    <n v="218.94117647058823"/>
  </r>
  <r>
    <x v="1"/>
    <x v="0"/>
    <x v="10"/>
    <x v="3"/>
    <n v="56"/>
    <n v="50400"/>
    <n v="28500"/>
    <n v="3340.6779661016953"/>
    <n v="391.07142857142856"/>
  </r>
  <r>
    <x v="1"/>
    <x v="0"/>
    <x v="2"/>
    <x v="1"/>
    <n v="20"/>
    <n v="7500"/>
    <n v="3960"/>
    <n v="168.5714285714289"/>
    <n v="177"/>
  </r>
  <r>
    <x v="1"/>
    <x v="0"/>
    <x v="1"/>
    <x v="0"/>
    <n v="4"/>
    <n v="2400"/>
    <n v="720"/>
    <n v="80"/>
    <n v="420"/>
  </r>
  <r>
    <x v="1"/>
    <x v="0"/>
    <x v="0"/>
    <x v="0"/>
    <n v="8"/>
    <n v="2680"/>
    <n v="1240"/>
    <n v="68.571428571428669"/>
    <n v="180"/>
  </r>
  <r>
    <x v="1"/>
    <x v="0"/>
    <x v="3"/>
    <x v="2"/>
    <n v="8"/>
    <n v="2392"/>
    <n v="1112"/>
    <n v="137.14285714285734"/>
    <n v="160"/>
  </r>
  <r>
    <x v="1"/>
    <x v="0"/>
    <x v="5"/>
    <x v="2"/>
    <n v="4"/>
    <n v="4600"/>
    <n v="1440"/>
    <n v="338.5714285714289"/>
    <n v="790"/>
  </r>
  <r>
    <x v="1"/>
    <x v="0"/>
    <x v="8"/>
    <x v="3"/>
    <n v="36"/>
    <n v="7164"/>
    <n v="3688"/>
    <n v="165.52380952380963"/>
    <n v="96.555555555555557"/>
  </r>
  <r>
    <x v="1"/>
    <x v="0"/>
    <x v="9"/>
    <x v="3"/>
    <n v="8"/>
    <n v="3600"/>
    <n v="1808"/>
    <n v="85.333333333333485"/>
    <n v="224"/>
  </r>
  <r>
    <x v="1"/>
    <x v="0"/>
    <x v="10"/>
    <x v="3"/>
    <n v="8"/>
    <n v="7200"/>
    <n v="4056"/>
    <n v="479.59322033898297"/>
    <n v="393"/>
  </r>
  <r>
    <x v="2"/>
    <x v="1"/>
    <x v="9"/>
    <x v="3"/>
    <n v="2"/>
    <n v="900"/>
    <n v="344"/>
    <n v="26.476190476190482"/>
    <n v="278"/>
  </r>
  <r>
    <x v="2"/>
    <x v="1"/>
    <x v="2"/>
    <x v="1"/>
    <n v="2"/>
    <n v="750"/>
    <n v="334"/>
    <n v="19.809523809523853"/>
    <n v="208"/>
  </r>
  <r>
    <x v="2"/>
    <x v="1"/>
    <x v="4"/>
    <x v="2"/>
    <n v="2"/>
    <n v="1150"/>
    <n v="294"/>
    <n v="91.714285714285779"/>
    <n v="428"/>
  </r>
  <r>
    <x v="2"/>
    <x v="1"/>
    <x v="8"/>
    <x v="3"/>
    <n v="4"/>
    <n v="796"/>
    <n v="200"/>
    <n v="28.380952380952408"/>
    <n v="149"/>
  </r>
  <r>
    <x v="2"/>
    <x v="1"/>
    <x v="1"/>
    <x v="0"/>
    <n v="4"/>
    <n v="2400"/>
    <n v="688"/>
    <n v="81.523809523809632"/>
    <n v="428"/>
  </r>
  <r>
    <x v="2"/>
    <x v="1"/>
    <x v="2"/>
    <x v="1"/>
    <n v="2"/>
    <n v="750"/>
    <n v="334"/>
    <n v="19.809523809523853"/>
    <n v="208"/>
  </r>
  <r>
    <x v="2"/>
    <x v="1"/>
    <x v="4"/>
    <x v="2"/>
    <n v="2"/>
    <n v="1150"/>
    <n v="294"/>
    <n v="91.714285714285779"/>
    <n v="428"/>
  </r>
  <r>
    <x v="2"/>
    <x v="1"/>
    <x v="8"/>
    <x v="3"/>
    <n v="2"/>
    <n v="398"/>
    <n v="100"/>
    <n v="14.190476190476204"/>
    <n v="149"/>
  </r>
  <r>
    <x v="2"/>
    <x v="1"/>
    <x v="9"/>
    <x v="3"/>
    <n v="2"/>
    <n v="900"/>
    <n v="344"/>
    <n v="26.476190476190482"/>
    <n v="278"/>
  </r>
  <r>
    <x v="2"/>
    <x v="1"/>
    <x v="8"/>
    <x v="3"/>
    <n v="2"/>
    <n v="398"/>
    <n v="100"/>
    <n v="14.190476190476204"/>
    <n v="149"/>
  </r>
  <r>
    <x v="2"/>
    <x v="1"/>
    <x v="1"/>
    <x v="0"/>
    <n v="4"/>
    <n v="2400"/>
    <n v="688"/>
    <n v="81.523809523809632"/>
    <n v="428"/>
  </r>
  <r>
    <x v="2"/>
    <x v="1"/>
    <x v="7"/>
    <x v="0"/>
    <n v="4"/>
    <n v="4800"/>
    <n v="1520"/>
    <n v="156.19047619047615"/>
    <n v="820"/>
  </r>
  <r>
    <x v="2"/>
    <x v="1"/>
    <x v="9"/>
    <x v="3"/>
    <n v="2"/>
    <n v="900"/>
    <n v="344"/>
    <n v="26.476190476190482"/>
    <n v="278"/>
  </r>
  <r>
    <x v="2"/>
    <x v="1"/>
    <x v="1"/>
    <x v="0"/>
    <n v="2"/>
    <n v="1200"/>
    <n v="344"/>
    <n v="40.761904761904816"/>
    <n v="428"/>
  </r>
  <r>
    <x v="2"/>
    <x v="1"/>
    <x v="5"/>
    <x v="2"/>
    <n v="4"/>
    <n v="4600"/>
    <n v="1320"/>
    <n v="351.42857142857156"/>
    <n v="820"/>
  </r>
  <r>
    <x v="2"/>
    <x v="1"/>
    <x v="9"/>
    <x v="3"/>
    <n v="2"/>
    <n v="900"/>
    <n v="344"/>
    <n v="26.476190476190482"/>
    <n v="278"/>
  </r>
  <r>
    <x v="2"/>
    <x v="1"/>
    <x v="4"/>
    <x v="2"/>
    <n v="2"/>
    <n v="1150"/>
    <n v="294"/>
    <n v="91.714285714285779"/>
    <n v="428"/>
  </r>
  <r>
    <x v="2"/>
    <x v="1"/>
    <x v="8"/>
    <x v="3"/>
    <n v="2"/>
    <n v="398"/>
    <n v="100"/>
    <n v="14.190476190476204"/>
    <n v="149"/>
  </r>
  <r>
    <x v="2"/>
    <x v="1"/>
    <x v="1"/>
    <x v="0"/>
    <n v="2"/>
    <n v="1200"/>
    <n v="202"/>
    <n v="47.523809523809518"/>
    <n v="499"/>
  </r>
  <r>
    <x v="2"/>
    <x v="1"/>
    <x v="3"/>
    <x v="2"/>
    <n v="2"/>
    <n v="598"/>
    <n v="100"/>
    <n v="53.35714285714289"/>
    <n v="249"/>
  </r>
  <r>
    <x v="2"/>
    <x v="1"/>
    <x v="7"/>
    <x v="0"/>
    <n v="2"/>
    <n v="2400"/>
    <n v="602"/>
    <n v="85.619047619047706"/>
    <n v="899"/>
  </r>
  <r>
    <x v="2"/>
    <x v="1"/>
    <x v="6"/>
    <x v="1"/>
    <n v="4"/>
    <n v="3000"/>
    <n v="1004"/>
    <n v="95.047619047619037"/>
    <n v="499"/>
  </r>
  <r>
    <x v="2"/>
    <x v="1"/>
    <x v="8"/>
    <x v="3"/>
    <n v="2"/>
    <n v="398"/>
    <n v="100"/>
    <n v="14.190476190476204"/>
    <n v="149"/>
  </r>
  <r>
    <x v="2"/>
    <x v="1"/>
    <x v="7"/>
    <x v="0"/>
    <n v="2"/>
    <n v="2400"/>
    <n v="602"/>
    <n v="85.619047619047706"/>
    <n v="899"/>
  </r>
  <r>
    <x v="2"/>
    <x v="1"/>
    <x v="0"/>
    <x v="0"/>
    <n v="2"/>
    <n v="670"/>
    <n v="172"/>
    <n v="23.714285714285722"/>
    <n v="249"/>
  </r>
  <r>
    <x v="2"/>
    <x v="1"/>
    <x v="1"/>
    <x v="0"/>
    <n v="4"/>
    <n v="2400"/>
    <n v="404"/>
    <n v="95.047619047619037"/>
    <n v="499"/>
  </r>
  <r>
    <x v="2"/>
    <x v="1"/>
    <x v="2"/>
    <x v="1"/>
    <n v="4"/>
    <n v="1500"/>
    <n v="504"/>
    <n v="47.428571428571445"/>
    <n v="249"/>
  </r>
  <r>
    <x v="2"/>
    <x v="1"/>
    <x v="4"/>
    <x v="2"/>
    <n v="2"/>
    <n v="1150"/>
    <n v="152"/>
    <n v="106.92857142857156"/>
    <n v="499"/>
  </r>
  <r>
    <x v="2"/>
    <x v="1"/>
    <x v="1"/>
    <x v="0"/>
    <n v="12"/>
    <n v="7200"/>
    <n v="1212"/>
    <n v="285.14285714285779"/>
    <n v="499"/>
  </r>
  <r>
    <x v="2"/>
    <x v="1"/>
    <x v="7"/>
    <x v="0"/>
    <n v="2"/>
    <n v="2400"/>
    <n v="602"/>
    <n v="85.619047619047706"/>
    <n v="899"/>
  </r>
  <r>
    <x v="2"/>
    <x v="1"/>
    <x v="8"/>
    <x v="3"/>
    <n v="2"/>
    <n v="398"/>
    <n v="100"/>
    <n v="14.190476190476204"/>
    <n v="149"/>
  </r>
  <r>
    <x v="2"/>
    <x v="1"/>
    <x v="8"/>
    <x v="3"/>
    <n v="2"/>
    <n v="398"/>
    <n v="100"/>
    <n v="14.190476190476204"/>
    <n v="149"/>
  </r>
  <r>
    <x v="2"/>
    <x v="1"/>
    <x v="1"/>
    <x v="0"/>
    <n v="2"/>
    <n v="1200"/>
    <n v="202"/>
    <n v="47.523809523809518"/>
    <n v="499"/>
  </r>
  <r>
    <x v="2"/>
    <x v="1"/>
    <x v="7"/>
    <x v="0"/>
    <n v="2"/>
    <n v="2400"/>
    <n v="602"/>
    <n v="85.619047619047706"/>
    <n v="899"/>
  </r>
  <r>
    <x v="2"/>
    <x v="1"/>
    <x v="8"/>
    <x v="3"/>
    <n v="2"/>
    <n v="398"/>
    <n v="100"/>
    <n v="14.190476190476204"/>
    <n v="149"/>
  </r>
  <r>
    <x v="2"/>
    <x v="1"/>
    <x v="1"/>
    <x v="0"/>
    <n v="2"/>
    <n v="1200"/>
    <n v="202"/>
    <n v="47.523809523809518"/>
    <n v="499"/>
  </r>
  <r>
    <x v="2"/>
    <x v="1"/>
    <x v="7"/>
    <x v="0"/>
    <n v="2"/>
    <n v="2400"/>
    <n v="602"/>
    <n v="85.619047619047706"/>
    <n v="899"/>
  </r>
  <r>
    <x v="2"/>
    <x v="1"/>
    <x v="9"/>
    <x v="3"/>
    <n v="4"/>
    <n v="1800"/>
    <n v="404"/>
    <n v="66.476190476190595"/>
    <n v="349"/>
  </r>
  <r>
    <x v="2"/>
    <x v="1"/>
    <x v="8"/>
    <x v="3"/>
    <n v="2"/>
    <n v="398"/>
    <n v="100"/>
    <n v="14.190476190476204"/>
    <n v="149"/>
  </r>
  <r>
    <x v="2"/>
    <x v="1"/>
    <x v="1"/>
    <x v="0"/>
    <n v="2"/>
    <n v="1200"/>
    <n v="202"/>
    <n v="47.523809523809518"/>
    <n v="499"/>
  </r>
  <r>
    <x v="2"/>
    <x v="1"/>
    <x v="1"/>
    <x v="0"/>
    <n v="2"/>
    <n v="1200"/>
    <n v="202"/>
    <n v="47.523809523809518"/>
    <n v="499"/>
  </r>
  <r>
    <x v="2"/>
    <x v="1"/>
    <x v="8"/>
    <x v="3"/>
    <n v="2"/>
    <n v="398"/>
    <n v="100"/>
    <n v="14.190476190476204"/>
    <n v="149"/>
  </r>
  <r>
    <x v="2"/>
    <x v="1"/>
    <x v="8"/>
    <x v="3"/>
    <n v="4"/>
    <n v="796"/>
    <n v="200"/>
    <n v="28.380952380952408"/>
    <n v="149"/>
  </r>
  <r>
    <x v="2"/>
    <x v="1"/>
    <x v="8"/>
    <x v="3"/>
    <n v="2"/>
    <n v="398"/>
    <n v="100"/>
    <n v="14.190476190476204"/>
    <n v="149"/>
  </r>
  <r>
    <x v="2"/>
    <x v="1"/>
    <x v="1"/>
    <x v="0"/>
    <n v="2"/>
    <n v="1200"/>
    <n v="202"/>
    <n v="47.523809523809518"/>
    <n v="499"/>
  </r>
  <r>
    <x v="2"/>
    <x v="1"/>
    <x v="1"/>
    <x v="0"/>
    <n v="2"/>
    <n v="1200"/>
    <n v="202"/>
    <n v="47.523809523809518"/>
    <n v="499"/>
  </r>
  <r>
    <x v="2"/>
    <x v="1"/>
    <x v="0"/>
    <x v="0"/>
    <n v="2"/>
    <n v="670"/>
    <n v="172"/>
    <n v="23.714285714285722"/>
    <n v="249"/>
  </r>
  <r>
    <x v="2"/>
    <x v="1"/>
    <x v="8"/>
    <x v="3"/>
    <n v="4"/>
    <n v="796"/>
    <n v="200"/>
    <n v="28.380952380952408"/>
    <n v="149"/>
  </r>
  <r>
    <x v="2"/>
    <x v="1"/>
    <x v="4"/>
    <x v="2"/>
    <n v="2"/>
    <n v="1150"/>
    <n v="152"/>
    <n v="106.92857142857156"/>
    <n v="499"/>
  </r>
  <r>
    <x v="2"/>
    <x v="1"/>
    <x v="7"/>
    <x v="0"/>
    <n v="2"/>
    <n v="2400"/>
    <n v="602"/>
    <n v="85.619047619047706"/>
    <n v="899"/>
  </r>
  <r>
    <x v="2"/>
    <x v="1"/>
    <x v="2"/>
    <x v="1"/>
    <n v="2"/>
    <n v="750"/>
    <n v="252"/>
    <n v="23.714285714285722"/>
    <n v="249"/>
  </r>
  <r>
    <x v="2"/>
    <x v="1"/>
    <x v="1"/>
    <x v="0"/>
    <n v="4"/>
    <n v="2400"/>
    <n v="404"/>
    <n v="95.047619047619037"/>
    <n v="499"/>
  </r>
  <r>
    <x v="2"/>
    <x v="1"/>
    <x v="2"/>
    <x v="1"/>
    <n v="2"/>
    <n v="750"/>
    <n v="252"/>
    <n v="23.714285714285722"/>
    <n v="249"/>
  </r>
  <r>
    <x v="2"/>
    <x v="1"/>
    <x v="8"/>
    <x v="3"/>
    <n v="2"/>
    <n v="398"/>
    <n v="100"/>
    <n v="14.190476190476204"/>
    <n v="149"/>
  </r>
  <r>
    <x v="2"/>
    <x v="1"/>
    <x v="7"/>
    <x v="0"/>
    <n v="2"/>
    <n v="2400"/>
    <n v="602"/>
    <n v="85.619047619047706"/>
    <n v="899"/>
  </r>
  <r>
    <x v="2"/>
    <x v="1"/>
    <x v="9"/>
    <x v="3"/>
    <n v="2"/>
    <n v="900"/>
    <n v="202"/>
    <n v="33.238095238095298"/>
    <n v="349"/>
  </r>
  <r>
    <x v="2"/>
    <x v="1"/>
    <x v="2"/>
    <x v="1"/>
    <n v="2"/>
    <n v="750"/>
    <n v="252"/>
    <n v="23.714285714285722"/>
    <n v="249"/>
  </r>
  <r>
    <x v="2"/>
    <x v="1"/>
    <x v="1"/>
    <x v="0"/>
    <n v="2"/>
    <n v="1200"/>
    <n v="202"/>
    <n v="47.523809523809518"/>
    <n v="499"/>
  </r>
  <r>
    <x v="2"/>
    <x v="1"/>
    <x v="8"/>
    <x v="3"/>
    <n v="2"/>
    <n v="398"/>
    <n v="100"/>
    <n v="14.190476190476204"/>
    <n v="149"/>
  </r>
  <r>
    <x v="2"/>
    <x v="1"/>
    <x v="1"/>
    <x v="0"/>
    <n v="4"/>
    <n v="2400"/>
    <n v="2070"/>
    <n v="15.714285714285722"/>
    <n v="82.5"/>
  </r>
  <r>
    <x v="2"/>
    <x v="0"/>
    <x v="11"/>
    <x v="1"/>
    <n v="2"/>
    <n v="330"/>
    <n v="32"/>
    <n v="14.190476190476204"/>
    <n v="149"/>
  </r>
  <r>
    <x v="2"/>
    <x v="0"/>
    <x v="1"/>
    <x v="0"/>
    <n v="2"/>
    <n v="1200"/>
    <n v="202"/>
    <n v="47.523809523809518"/>
    <n v="499"/>
  </r>
  <r>
    <x v="2"/>
    <x v="0"/>
    <x v="7"/>
    <x v="0"/>
    <n v="2"/>
    <n v="2400"/>
    <n v="602"/>
    <n v="85.619047619047706"/>
    <n v="899"/>
  </r>
  <r>
    <x v="2"/>
    <x v="0"/>
    <x v="8"/>
    <x v="3"/>
    <n v="4"/>
    <n v="796"/>
    <n v="200"/>
    <n v="28.380952380952408"/>
    <n v="149"/>
  </r>
  <r>
    <x v="2"/>
    <x v="0"/>
    <x v="8"/>
    <x v="3"/>
    <n v="2"/>
    <n v="398"/>
    <n v="100"/>
    <n v="14.190476190476204"/>
    <n v="149"/>
  </r>
  <r>
    <x v="2"/>
    <x v="0"/>
    <x v="7"/>
    <x v="0"/>
    <n v="4"/>
    <n v="4800"/>
    <n v="1204"/>
    <n v="171.23809523809541"/>
    <n v="899"/>
  </r>
  <r>
    <x v="2"/>
    <x v="0"/>
    <x v="6"/>
    <x v="1"/>
    <n v="2"/>
    <n v="1500"/>
    <n v="502"/>
    <n v="47.523809523809518"/>
    <n v="499"/>
  </r>
  <r>
    <x v="2"/>
    <x v="0"/>
    <x v="2"/>
    <x v="1"/>
    <n v="2"/>
    <n v="750"/>
    <n v="252"/>
    <n v="23.714285714285722"/>
    <n v="249"/>
  </r>
  <r>
    <x v="2"/>
    <x v="0"/>
    <x v="4"/>
    <x v="2"/>
    <n v="4"/>
    <n v="2300"/>
    <n v="1996"/>
    <n v="32.571428571428612"/>
    <n v="76"/>
  </r>
  <r>
    <x v="2"/>
    <x v="0"/>
    <x v="8"/>
    <x v="3"/>
    <n v="2"/>
    <n v="398"/>
    <n v="100"/>
    <n v="14.190476190476204"/>
    <n v="149"/>
  </r>
  <r>
    <x v="2"/>
    <x v="0"/>
    <x v="1"/>
    <x v="0"/>
    <n v="4"/>
    <n v="2400"/>
    <n v="404"/>
    <n v="95.047619047619037"/>
    <n v="499"/>
  </r>
  <r>
    <x v="2"/>
    <x v="0"/>
    <x v="5"/>
    <x v="2"/>
    <n v="2"/>
    <n v="2300"/>
    <n v="3632"/>
    <n v="-142.71428571428578"/>
    <n v="-666"/>
  </r>
  <r>
    <x v="3"/>
    <x v="1"/>
    <x v="3"/>
    <x v="2"/>
    <n v="174"/>
    <n v="52026"/>
    <n v="2601.3000000000002"/>
    <n v="3065.817857142858"/>
    <n v="284.05"/>
  </r>
  <r>
    <x v="3"/>
    <x v="1"/>
    <x v="0"/>
    <x v="0"/>
    <n v="376"/>
    <n v="125960"/>
    <n v="6298"/>
    <n v="6612.9000000000087"/>
    <n v="318.25"/>
  </r>
  <r>
    <x v="3"/>
    <x v="1"/>
    <x v="3"/>
    <x v="2"/>
    <n v="210"/>
    <n v="62790"/>
    <n v="3139.5"/>
    <n v="3700.1250000000036"/>
    <n v="284.05"/>
  </r>
  <r>
    <x v="3"/>
    <x v="1"/>
    <x v="0"/>
    <x v="0"/>
    <n v="266"/>
    <n v="89110"/>
    <n v="4455.5"/>
    <n v="4678.2750000000015"/>
    <n v="318.25"/>
  </r>
  <r>
    <x v="3"/>
    <x v="1"/>
    <x v="3"/>
    <x v="2"/>
    <n v="126"/>
    <n v="37674"/>
    <n v="1883.7"/>
    <n v="2220.0750000000007"/>
    <n v="284.05"/>
  </r>
  <r>
    <x v="3"/>
    <x v="1"/>
    <x v="0"/>
    <x v="0"/>
    <n v="202"/>
    <n v="67670"/>
    <n v="3383.5"/>
    <n v="3552.6750000000029"/>
    <n v="318.25"/>
  </r>
  <r>
    <x v="3"/>
    <x v="1"/>
    <x v="3"/>
    <x v="2"/>
    <n v="124"/>
    <n v="37076"/>
    <n v="1853.8000000000002"/>
    <n v="2184.8357142857167"/>
    <n v="284.04999999999995"/>
  </r>
  <r>
    <x v="3"/>
    <x v="1"/>
    <x v="0"/>
    <x v="0"/>
    <n v="222"/>
    <n v="74370"/>
    <n v="3718.5"/>
    <n v="3904.4250000000029"/>
    <n v="318.25"/>
  </r>
  <r>
    <x v="3"/>
    <x v="1"/>
    <x v="3"/>
    <x v="2"/>
    <n v="142"/>
    <n v="42458"/>
    <n v="2122.9"/>
    <n v="2501.9892857142877"/>
    <n v="284.05"/>
  </r>
  <r>
    <x v="3"/>
    <x v="1"/>
    <x v="0"/>
    <x v="0"/>
    <n v="180"/>
    <n v="60300"/>
    <n v="3015"/>
    <n v="3165.7500000000036"/>
    <n v="318.25"/>
  </r>
  <r>
    <x v="3"/>
    <x v="1"/>
    <x v="3"/>
    <x v="2"/>
    <n v="146"/>
    <n v="43654"/>
    <n v="2182.7000000000003"/>
    <n v="2572.4678571428594"/>
    <n v="284.05"/>
  </r>
  <r>
    <x v="3"/>
    <x v="1"/>
    <x v="0"/>
    <x v="0"/>
    <n v="236"/>
    <n v="79060"/>
    <n v="3953"/>
    <n v="4150.6500000000015"/>
    <n v="318.25"/>
  </r>
  <r>
    <x v="3"/>
    <x v="1"/>
    <x v="3"/>
    <x v="2"/>
    <n v="194"/>
    <n v="58006"/>
    <n v="2900.3"/>
    <n v="3418.2107142857167"/>
    <n v="284.05"/>
  </r>
  <r>
    <x v="3"/>
    <x v="1"/>
    <x v="0"/>
    <x v="0"/>
    <n v="350"/>
    <n v="117250"/>
    <n v="5862.5"/>
    <n v="6155.6250000000073"/>
    <n v="318.25"/>
  </r>
  <r>
    <x v="3"/>
    <x v="1"/>
    <x v="3"/>
    <x v="2"/>
    <n v="144"/>
    <n v="43056"/>
    <n v="2152.8000000000002"/>
    <n v="2537.2285714285717"/>
    <n v="284.04999999999995"/>
  </r>
  <r>
    <x v="3"/>
    <x v="1"/>
    <x v="0"/>
    <x v="0"/>
    <n v="216"/>
    <n v="72360"/>
    <n v="3618"/>
    <n v="3798.9000000000015"/>
    <n v="318.25"/>
  </r>
  <r>
    <x v="3"/>
    <x v="1"/>
    <x v="3"/>
    <x v="2"/>
    <n v="106"/>
    <n v="31694"/>
    <n v="1584.7"/>
    <n v="1867.6821428571438"/>
    <n v="284.05"/>
  </r>
  <r>
    <x v="3"/>
    <x v="1"/>
    <x v="0"/>
    <x v="0"/>
    <n v="192"/>
    <n v="64320"/>
    <n v="3216"/>
    <n v="3376.8000000000029"/>
    <n v="318.25"/>
  </r>
  <r>
    <x v="3"/>
    <x v="1"/>
    <x v="3"/>
    <x v="2"/>
    <n v="136"/>
    <n v="40664"/>
    <n v="2033.2"/>
    <n v="2396.2714285714319"/>
    <n v="284.05"/>
  </r>
  <r>
    <x v="3"/>
    <x v="1"/>
    <x v="0"/>
    <x v="0"/>
    <n v="222"/>
    <n v="74370"/>
    <n v="3718.5"/>
    <n v="3904.4250000000029"/>
    <n v="318.25"/>
  </r>
  <r>
    <x v="3"/>
    <x v="1"/>
    <x v="3"/>
    <x v="2"/>
    <n v="146"/>
    <n v="43654"/>
    <n v="2182.7000000000003"/>
    <n v="2572.4678571428594"/>
    <n v="284.05"/>
  </r>
  <r>
    <x v="3"/>
    <x v="1"/>
    <x v="0"/>
    <x v="0"/>
    <n v="264"/>
    <n v="88440"/>
    <n v="4422"/>
    <n v="4643.1000000000058"/>
    <n v="318.25"/>
  </r>
  <r>
    <x v="3"/>
    <x v="1"/>
    <x v="3"/>
    <x v="2"/>
    <n v="148"/>
    <n v="44252"/>
    <n v="2212.6"/>
    <n v="2607.7071428571435"/>
    <n v="284.05"/>
  </r>
  <r>
    <x v="3"/>
    <x v="1"/>
    <x v="0"/>
    <x v="0"/>
    <n v="238"/>
    <n v="79730"/>
    <n v="3986.5"/>
    <n v="4185.8250000000044"/>
    <n v="318.25"/>
  </r>
  <r>
    <x v="3"/>
    <x v="1"/>
    <x v="3"/>
    <x v="2"/>
    <n v="104"/>
    <n v="31096"/>
    <n v="1554.8000000000002"/>
    <n v="1832.442857142858"/>
    <n v="284.05"/>
  </r>
  <r>
    <x v="3"/>
    <x v="1"/>
    <x v="0"/>
    <x v="0"/>
    <n v="194"/>
    <n v="64990"/>
    <n v="3249.5"/>
    <n v="3411.9750000000022"/>
    <n v="318.25"/>
  </r>
  <r>
    <x v="3"/>
    <x v="1"/>
    <x v="3"/>
    <x v="2"/>
    <n v="126"/>
    <n v="37674"/>
    <n v="1883.7"/>
    <n v="2220.0750000000007"/>
    <n v="284.05"/>
  </r>
  <r>
    <x v="3"/>
    <x v="1"/>
    <x v="0"/>
    <x v="0"/>
    <n v="232"/>
    <n v="77720"/>
    <n v="3886"/>
    <n v="4080.3000000000029"/>
    <n v="318.25"/>
  </r>
  <r>
    <x v="3"/>
    <x v="1"/>
    <x v="3"/>
    <x v="2"/>
    <n v="94"/>
    <n v="28106"/>
    <n v="1405.3000000000002"/>
    <n v="1656.2464285714304"/>
    <n v="284.05"/>
  </r>
  <r>
    <x v="3"/>
    <x v="1"/>
    <x v="0"/>
    <x v="0"/>
    <n v="184"/>
    <n v="61640"/>
    <n v="3082"/>
    <n v="3236.1000000000022"/>
    <n v="318.25"/>
  </r>
  <r>
    <x v="3"/>
    <x v="1"/>
    <x v="3"/>
    <x v="2"/>
    <n v="76"/>
    <n v="22724"/>
    <n v="1136.2"/>
    <n v="1339.0928571428576"/>
    <n v="284.05"/>
  </r>
  <r>
    <x v="3"/>
    <x v="1"/>
    <x v="0"/>
    <x v="0"/>
    <n v="128"/>
    <n v="42880"/>
    <n v="2144"/>
    <n v="2251.2000000000007"/>
    <n v="318.25"/>
  </r>
  <r>
    <x v="3"/>
    <x v="1"/>
    <x v="3"/>
    <x v="2"/>
    <n v="76"/>
    <n v="22724"/>
    <n v="1136.2"/>
    <n v="1339.0928571428576"/>
    <n v="284.05"/>
  </r>
  <r>
    <x v="3"/>
    <x v="1"/>
    <x v="0"/>
    <x v="0"/>
    <n v="94"/>
    <n v="31490"/>
    <n v="1574.5"/>
    <n v="1653.2250000000022"/>
    <n v="318.25"/>
  </r>
  <r>
    <x v="3"/>
    <x v="1"/>
    <x v="3"/>
    <x v="2"/>
    <n v="98"/>
    <n v="29302"/>
    <n v="1465.1000000000001"/>
    <n v="1726.7250000000022"/>
    <n v="284.05"/>
  </r>
  <r>
    <x v="3"/>
    <x v="1"/>
    <x v="0"/>
    <x v="0"/>
    <n v="232"/>
    <n v="77720"/>
    <n v="3886"/>
    <n v="4080.3000000000029"/>
    <n v="318.25"/>
  </r>
  <r>
    <x v="3"/>
    <x v="1"/>
    <x v="3"/>
    <x v="2"/>
    <n v="124"/>
    <n v="37076"/>
    <n v="1853.8000000000002"/>
    <n v="2184.8357142857167"/>
    <n v="284.04999999999995"/>
  </r>
  <r>
    <x v="3"/>
    <x v="1"/>
    <x v="0"/>
    <x v="0"/>
    <n v="222"/>
    <n v="74370"/>
    <n v="3718.5"/>
    <n v="3904.4250000000029"/>
    <n v="318.25"/>
  </r>
  <r>
    <x v="3"/>
    <x v="1"/>
    <x v="3"/>
    <x v="2"/>
    <n v="126"/>
    <n v="37674"/>
    <n v="1883.7"/>
    <n v="2220.0750000000007"/>
    <n v="284.05"/>
  </r>
  <r>
    <x v="3"/>
    <x v="1"/>
    <x v="0"/>
    <x v="0"/>
    <n v="278"/>
    <n v="93130"/>
    <n v="4656.5"/>
    <n v="4889.3250000000044"/>
    <n v="318.25"/>
  </r>
  <r>
    <x v="3"/>
    <x v="1"/>
    <x v="3"/>
    <x v="2"/>
    <n v="178"/>
    <n v="53222"/>
    <n v="2661.1000000000004"/>
    <n v="3136.2964285714297"/>
    <n v="284.05"/>
  </r>
  <r>
    <x v="3"/>
    <x v="1"/>
    <x v="0"/>
    <x v="0"/>
    <n v="362"/>
    <n v="121270"/>
    <n v="6063.5"/>
    <n v="6366.6750000000029"/>
    <n v="318.25"/>
  </r>
  <r>
    <x v="3"/>
    <x v="1"/>
    <x v="3"/>
    <x v="2"/>
    <n v="142"/>
    <n v="42458"/>
    <n v="2122.9"/>
    <n v="2501.9892857142877"/>
    <n v="284.05"/>
  </r>
  <r>
    <x v="3"/>
    <x v="1"/>
    <x v="0"/>
    <x v="0"/>
    <n v="320"/>
    <n v="107200"/>
    <n v="5360"/>
    <n v="5628.0000000000073"/>
    <n v="318.25"/>
  </r>
  <r>
    <x v="3"/>
    <x v="1"/>
    <x v="3"/>
    <x v="2"/>
    <n v="148"/>
    <n v="44252"/>
    <n v="2212.6"/>
    <n v="2607.7071428571435"/>
    <n v="284.05"/>
  </r>
  <r>
    <x v="3"/>
    <x v="1"/>
    <x v="0"/>
    <x v="0"/>
    <n v="262"/>
    <n v="87770"/>
    <n v="4388.5"/>
    <n v="4607.9250000000029"/>
    <n v="318.25"/>
  </r>
  <r>
    <x v="3"/>
    <x v="1"/>
    <x v="3"/>
    <x v="2"/>
    <n v="160"/>
    <n v="47840"/>
    <n v="2392"/>
    <n v="2819.1428571428587"/>
    <n v="284.05"/>
  </r>
  <r>
    <x v="3"/>
    <x v="1"/>
    <x v="0"/>
    <x v="0"/>
    <n v="282"/>
    <n v="94470"/>
    <n v="4723.5"/>
    <n v="4959.6750000000029"/>
    <n v="318.25"/>
  </r>
  <r>
    <x v="3"/>
    <x v="1"/>
    <x v="3"/>
    <x v="2"/>
    <n v="120"/>
    <n v="35880"/>
    <n v="1794"/>
    <n v="2114.3571428571449"/>
    <n v="284.05"/>
  </r>
  <r>
    <x v="3"/>
    <x v="1"/>
    <x v="0"/>
    <x v="0"/>
    <n v="312"/>
    <n v="104520"/>
    <n v="5226"/>
    <n v="5487.3000000000029"/>
    <n v="318.25"/>
  </r>
  <r>
    <x v="3"/>
    <x v="1"/>
    <x v="3"/>
    <x v="2"/>
    <n v="162"/>
    <n v="48438"/>
    <n v="2421.9"/>
    <n v="2854.3821428571464"/>
    <n v="284.05"/>
  </r>
  <r>
    <x v="3"/>
    <x v="1"/>
    <x v="0"/>
    <x v="0"/>
    <n v="338"/>
    <n v="113230"/>
    <n v="5661.5"/>
    <n v="5944.5750000000044"/>
    <n v="318.25"/>
  </r>
  <r>
    <x v="3"/>
    <x v="1"/>
    <x v="3"/>
    <x v="2"/>
    <n v="118"/>
    <n v="35282"/>
    <n v="1764.1000000000001"/>
    <n v="2079.1178571428572"/>
    <n v="284.05"/>
  </r>
  <r>
    <x v="3"/>
    <x v="1"/>
    <x v="0"/>
    <x v="0"/>
    <n v="320"/>
    <n v="107200"/>
    <n v="5360"/>
    <n v="5628.0000000000073"/>
    <n v="318.25"/>
  </r>
  <r>
    <x v="3"/>
    <x v="1"/>
    <x v="3"/>
    <x v="2"/>
    <n v="140"/>
    <n v="41860"/>
    <n v="2093"/>
    <n v="2466.7500000000036"/>
    <n v="284.05"/>
  </r>
  <r>
    <x v="3"/>
    <x v="1"/>
    <x v="0"/>
    <x v="0"/>
    <n v="286"/>
    <n v="95810"/>
    <n v="4790.5"/>
    <n v="5030.0250000000015"/>
    <n v="318.25"/>
  </r>
  <r>
    <x v="3"/>
    <x v="1"/>
    <x v="3"/>
    <x v="2"/>
    <n v="98"/>
    <n v="29302"/>
    <n v="1465.1000000000001"/>
    <n v="1726.7250000000022"/>
    <n v="284.05"/>
  </r>
  <r>
    <x v="3"/>
    <x v="1"/>
    <x v="0"/>
    <x v="0"/>
    <n v="222"/>
    <n v="74370"/>
    <n v="3718.5"/>
    <n v="3904.4250000000029"/>
    <n v="318.25"/>
  </r>
  <r>
    <x v="3"/>
    <x v="1"/>
    <x v="3"/>
    <x v="2"/>
    <n v="104"/>
    <n v="31096"/>
    <n v="1554.8000000000002"/>
    <n v="1832.442857142858"/>
    <n v="284.05"/>
  </r>
  <r>
    <x v="3"/>
    <x v="1"/>
    <x v="0"/>
    <x v="0"/>
    <n v="270"/>
    <n v="90450"/>
    <n v="4522.5"/>
    <n v="4748.6250000000073"/>
    <n v="318.25"/>
  </r>
  <r>
    <x v="3"/>
    <x v="1"/>
    <x v="3"/>
    <x v="2"/>
    <n v="106"/>
    <n v="31694"/>
    <n v="1584.7"/>
    <n v="1867.6821428571438"/>
    <n v="284.05"/>
  </r>
  <r>
    <x v="3"/>
    <x v="1"/>
    <x v="0"/>
    <x v="0"/>
    <n v="212"/>
    <n v="71020"/>
    <n v="3551"/>
    <n v="3728.5500000000029"/>
    <n v="318.25"/>
  </r>
  <r>
    <x v="3"/>
    <x v="0"/>
    <x v="3"/>
    <x v="2"/>
    <n v="222"/>
    <n v="66378"/>
    <n v="3318.9"/>
    <n v="3911.5607142857152"/>
    <n v="284.05"/>
  </r>
  <r>
    <x v="3"/>
    <x v="0"/>
    <x v="0"/>
    <x v="0"/>
    <n v="278"/>
    <n v="93130"/>
    <n v="4656.5"/>
    <n v="4889.3250000000044"/>
    <n v="318.25"/>
  </r>
  <r>
    <x v="3"/>
    <x v="0"/>
    <x v="3"/>
    <x v="2"/>
    <n v="204"/>
    <n v="60996"/>
    <n v="3049.8"/>
    <n v="3594.4071428571442"/>
    <n v="284.05"/>
  </r>
  <r>
    <x v="3"/>
    <x v="0"/>
    <x v="0"/>
    <x v="0"/>
    <n v="286"/>
    <n v="95810"/>
    <n v="4790.5"/>
    <n v="5030.0250000000015"/>
    <n v="318.25"/>
  </r>
  <r>
    <x v="3"/>
    <x v="0"/>
    <x v="3"/>
    <x v="2"/>
    <n v="190"/>
    <n v="56810"/>
    <n v="2840.5"/>
    <n v="3347.7321428571449"/>
    <n v="284.05"/>
  </r>
  <r>
    <x v="3"/>
    <x v="0"/>
    <x v="0"/>
    <x v="0"/>
    <n v="384"/>
    <n v="128640"/>
    <n v="6432"/>
    <n v="6753.6000000000058"/>
    <n v="318.25"/>
  </r>
  <r>
    <x v="3"/>
    <x v="0"/>
    <x v="3"/>
    <x v="2"/>
    <n v="298"/>
    <n v="89102"/>
    <n v="4455.1000000000004"/>
    <n v="5250.6535714285783"/>
    <n v="284.04999999999995"/>
  </r>
  <r>
    <x v="3"/>
    <x v="0"/>
    <x v="0"/>
    <x v="0"/>
    <n v="406"/>
    <n v="136010"/>
    <n v="6800.5"/>
    <n v="7140.5250000000015"/>
    <n v="318.25"/>
  </r>
  <r>
    <x v="3"/>
    <x v="0"/>
    <x v="3"/>
    <x v="2"/>
    <n v="234"/>
    <n v="69966"/>
    <n v="3498.3"/>
    <n v="4122.9964285714304"/>
    <n v="284.05"/>
  </r>
  <r>
    <x v="3"/>
    <x v="0"/>
    <x v="0"/>
    <x v="0"/>
    <n v="270"/>
    <n v="90450"/>
    <n v="4522.5"/>
    <n v="4748.6250000000073"/>
    <n v="318.25"/>
  </r>
  <r>
    <x v="3"/>
    <x v="0"/>
    <x v="3"/>
    <x v="2"/>
    <n v="220"/>
    <n v="65780"/>
    <n v="3289"/>
    <n v="3876.3214285714312"/>
    <n v="284.05"/>
  </r>
  <r>
    <x v="3"/>
    <x v="0"/>
    <x v="0"/>
    <x v="0"/>
    <n v="268"/>
    <n v="89780"/>
    <n v="4489"/>
    <n v="4713.4500000000044"/>
    <n v="318.25"/>
  </r>
  <r>
    <x v="3"/>
    <x v="0"/>
    <x v="3"/>
    <x v="2"/>
    <n v="192"/>
    <n v="57408"/>
    <n v="2870.4"/>
    <n v="3382.9714285714326"/>
    <n v="284.05"/>
  </r>
  <r>
    <x v="3"/>
    <x v="0"/>
    <x v="0"/>
    <x v="0"/>
    <n v="264"/>
    <n v="88440"/>
    <n v="4422"/>
    <n v="4643.1000000000058"/>
    <n v="318.25"/>
  </r>
  <r>
    <x v="4"/>
    <x v="1"/>
    <x v="3"/>
    <x v="2"/>
    <n v="10"/>
    <n v="2990"/>
    <n v="932.10000000000014"/>
    <n v="276.4152857142858"/>
    <n v="299"/>
  </r>
  <r>
    <x v="4"/>
    <x v="1"/>
    <x v="0"/>
    <x v="0"/>
    <n v="5"/>
    <n v="1675"/>
    <n v="596.80000000000007"/>
    <n v="148.77171428571444"/>
    <n v="335"/>
  </r>
  <r>
    <x v="4"/>
    <x v="1"/>
    <x v="9"/>
    <x v="3"/>
    <n v="5"/>
    <n v="2250"/>
    <n v="800.55000000000007"/>
    <n v="199.04255357142887"/>
    <n v="450"/>
  </r>
  <r>
    <x v="4"/>
    <x v="1"/>
    <x v="3"/>
    <x v="2"/>
    <n v="10"/>
    <n v="2990"/>
    <n v="932.10000000000014"/>
    <n v="276.4152857142858"/>
    <n v="299"/>
  </r>
  <r>
    <x v="4"/>
    <x v="1"/>
    <x v="4"/>
    <x v="2"/>
    <n v="5"/>
    <n v="2875"/>
    <n v="664.49999999999989"/>
    <n v="280.98107142857174"/>
    <n v="575"/>
  </r>
  <r>
    <x v="4"/>
    <x v="1"/>
    <x v="0"/>
    <x v="0"/>
    <n v="5"/>
    <n v="1675"/>
    <n v="596.80000000000007"/>
    <n v="148.77171428571444"/>
    <n v="335"/>
  </r>
  <r>
    <x v="4"/>
    <x v="1"/>
    <x v="11"/>
    <x v="1"/>
    <n v="10"/>
    <n v="1650"/>
    <n v="593.40000000000009"/>
    <n v="145.63221428571438"/>
    <n v="165"/>
  </r>
  <r>
    <x v="4"/>
    <x v="1"/>
    <x v="2"/>
    <x v="1"/>
    <n v="5"/>
    <n v="1875"/>
    <n v="764.95"/>
    <n v="157.45462500000002"/>
    <n v="375"/>
  </r>
  <r>
    <x v="4"/>
    <x v="1"/>
    <x v="9"/>
    <x v="3"/>
    <n v="5"/>
    <n v="2250"/>
    <n v="800.55000000000007"/>
    <n v="199.04255357142887"/>
    <n v="450"/>
  </r>
  <r>
    <x v="4"/>
    <x v="1"/>
    <x v="3"/>
    <x v="2"/>
    <n v="25"/>
    <n v="7475"/>
    <n v="2330.2500000000005"/>
    <n v="691.0382142857145"/>
    <n v="299"/>
  </r>
  <r>
    <x v="4"/>
    <x v="1"/>
    <x v="0"/>
    <x v="0"/>
    <n v="5"/>
    <n v="1675"/>
    <n v="596.80000000000007"/>
    <n v="148.77171428571444"/>
    <n v="335"/>
  </r>
  <r>
    <x v="4"/>
    <x v="1"/>
    <x v="1"/>
    <x v="0"/>
    <n v="5"/>
    <n v="3000"/>
    <n v="759.7"/>
    <n v="292.12585714285751"/>
    <n v="600"/>
  </r>
  <r>
    <x v="4"/>
    <x v="1"/>
    <x v="8"/>
    <x v="3"/>
    <n v="5"/>
    <n v="995"/>
    <n v="272.8"/>
    <n v="94.331142857142964"/>
    <n v="199"/>
  </r>
  <r>
    <x v="4"/>
    <x v="1"/>
    <x v="9"/>
    <x v="3"/>
    <n v="15"/>
    <n v="6750"/>
    <n v="2401.65"/>
    <n v="597.12766071428632"/>
    <n v="450"/>
  </r>
  <r>
    <x v="4"/>
    <x v="1"/>
    <x v="3"/>
    <x v="2"/>
    <n v="15"/>
    <n v="4485"/>
    <n v="1398.15"/>
    <n v="414.6229285714287"/>
    <n v="299"/>
  </r>
  <r>
    <x v="4"/>
    <x v="1"/>
    <x v="0"/>
    <x v="0"/>
    <n v="5"/>
    <n v="1675"/>
    <n v="596.80000000000007"/>
    <n v="148.77171428571444"/>
    <n v="335"/>
  </r>
  <r>
    <x v="4"/>
    <x v="1"/>
    <x v="1"/>
    <x v="0"/>
    <n v="10"/>
    <n v="6000"/>
    <n v="1283.6000000000001"/>
    <n v="593.3468571428574"/>
    <n v="600"/>
  </r>
  <r>
    <x v="4"/>
    <x v="1"/>
    <x v="11"/>
    <x v="1"/>
    <n v="5"/>
    <n v="825"/>
    <n v="296.70000000000005"/>
    <n v="72.816107142857192"/>
    <n v="165"/>
  </r>
  <r>
    <x v="4"/>
    <x v="1"/>
    <x v="2"/>
    <x v="1"/>
    <n v="5"/>
    <n v="1875"/>
    <n v="764.95"/>
    <n v="157.45462500000002"/>
    <n v="375"/>
  </r>
  <r>
    <x v="4"/>
    <x v="1"/>
    <x v="3"/>
    <x v="2"/>
    <n v="5"/>
    <n v="1495"/>
    <n v="466.05000000000007"/>
    <n v="138.2076428571429"/>
    <n v="299"/>
  </r>
  <r>
    <x v="4"/>
    <x v="1"/>
    <x v="0"/>
    <x v="0"/>
    <n v="10"/>
    <n v="3350"/>
    <n v="1193.6000000000001"/>
    <n v="297.54342857142888"/>
    <n v="335"/>
  </r>
  <r>
    <x v="4"/>
    <x v="1"/>
    <x v="1"/>
    <x v="0"/>
    <n v="10"/>
    <n v="6000"/>
    <n v="1401.5"/>
    <n v="588.7992857142865"/>
    <n v="600"/>
  </r>
  <r>
    <x v="4"/>
    <x v="1"/>
    <x v="3"/>
    <x v="2"/>
    <n v="15"/>
    <n v="4485"/>
    <n v="1346.75"/>
    <n v="417.04607142857185"/>
    <n v="299"/>
  </r>
  <r>
    <x v="4"/>
    <x v="1"/>
    <x v="4"/>
    <x v="2"/>
    <n v="10"/>
    <n v="5750"/>
    <n v="1550"/>
    <n v="552.96428571428635"/>
    <n v="575"/>
  </r>
  <r>
    <x v="4"/>
    <x v="1"/>
    <x v="11"/>
    <x v="1"/>
    <n v="5"/>
    <n v="825"/>
    <n v="323.10000000000002"/>
    <n v="71.430107142857224"/>
    <n v="165"/>
  </r>
  <r>
    <x v="4"/>
    <x v="1"/>
    <x v="9"/>
    <x v="3"/>
    <n v="10"/>
    <n v="4500"/>
    <n v="1532"/>
    <n v="401.71285714285773"/>
    <n v="450"/>
  </r>
  <r>
    <x v="4"/>
    <x v="1"/>
    <x v="3"/>
    <x v="2"/>
    <n v="10"/>
    <n v="2990"/>
    <n v="932.10000000000014"/>
    <n v="276.4152857142858"/>
    <n v="299"/>
  </r>
  <r>
    <x v="4"/>
    <x v="1"/>
    <x v="4"/>
    <x v="2"/>
    <n v="10"/>
    <n v="5750"/>
    <n v="1328.9999999999998"/>
    <n v="561.96214285714348"/>
    <n v="575"/>
  </r>
  <r>
    <x v="4"/>
    <x v="1"/>
    <x v="0"/>
    <x v="0"/>
    <n v="5"/>
    <n v="1675"/>
    <n v="596.80000000000007"/>
    <n v="148.77171428571444"/>
    <n v="335"/>
  </r>
  <r>
    <x v="4"/>
    <x v="1"/>
    <x v="1"/>
    <x v="0"/>
    <n v="10"/>
    <n v="6000"/>
    <n v="1168.6000000000001"/>
    <n v="597.78257142857171"/>
    <n v="600"/>
  </r>
  <r>
    <x v="4"/>
    <x v="1"/>
    <x v="11"/>
    <x v="1"/>
    <n v="10"/>
    <n v="1650"/>
    <n v="619.80000000000007"/>
    <n v="144.24621428571442"/>
    <n v="165"/>
  </r>
  <r>
    <x v="4"/>
    <x v="1"/>
    <x v="2"/>
    <x v="1"/>
    <n v="15"/>
    <n v="5625"/>
    <n v="2350.3500000000004"/>
    <n v="469.21226785714339"/>
    <n v="375"/>
  </r>
  <r>
    <x v="4"/>
    <x v="1"/>
    <x v="3"/>
    <x v="2"/>
    <n v="20"/>
    <n v="5980"/>
    <n v="1812.8000000000002"/>
    <n v="555.25371428571475"/>
    <n v="299"/>
  </r>
  <r>
    <x v="4"/>
    <x v="1"/>
    <x v="4"/>
    <x v="2"/>
    <n v="35"/>
    <n v="20125"/>
    <n v="5093.5"/>
    <n v="1948.8717857142865"/>
    <n v="575"/>
  </r>
  <r>
    <x v="4"/>
    <x v="1"/>
    <x v="0"/>
    <x v="0"/>
    <n v="10"/>
    <n v="3350"/>
    <n v="1193.6000000000001"/>
    <n v="297.54342857142888"/>
    <n v="335"/>
  </r>
  <r>
    <x v="4"/>
    <x v="1"/>
    <x v="11"/>
    <x v="1"/>
    <n v="80"/>
    <n v="13200"/>
    <n v="4748.5000000000009"/>
    <n v="1164.9894642857157"/>
    <n v="165"/>
  </r>
  <r>
    <x v="4"/>
    <x v="1"/>
    <x v="2"/>
    <x v="1"/>
    <n v="10"/>
    <n v="3750"/>
    <n v="1585.4"/>
    <n v="311.75764285714308"/>
    <n v="375"/>
  </r>
  <r>
    <x v="4"/>
    <x v="1"/>
    <x v="3"/>
    <x v="2"/>
    <n v="5"/>
    <n v="1495"/>
    <n v="466.05000000000007"/>
    <n v="138.2076428571429"/>
    <n v="299"/>
  </r>
  <r>
    <x v="4"/>
    <x v="1"/>
    <x v="0"/>
    <x v="0"/>
    <n v="10"/>
    <n v="3350"/>
    <n v="1193.6000000000001"/>
    <n v="297.54342857142888"/>
    <n v="335"/>
  </r>
  <r>
    <x v="4"/>
    <x v="1"/>
    <x v="1"/>
    <x v="0"/>
    <n v="5"/>
    <n v="3000"/>
    <n v="759.7"/>
    <n v="292.12585714285751"/>
    <n v="600"/>
  </r>
  <r>
    <x v="4"/>
    <x v="1"/>
    <x v="11"/>
    <x v="1"/>
    <n v="5"/>
    <n v="825"/>
    <n v="296.70000000000005"/>
    <n v="72.816107142857192"/>
    <n v="165"/>
  </r>
  <r>
    <x v="4"/>
    <x v="1"/>
    <x v="2"/>
    <x v="1"/>
    <n v="10"/>
    <n v="3750"/>
    <n v="1529.9"/>
    <n v="314.90925000000004"/>
    <n v="375"/>
  </r>
  <r>
    <x v="4"/>
    <x v="1"/>
    <x v="9"/>
    <x v="3"/>
    <n v="5"/>
    <n v="2250"/>
    <n v="800.55000000000007"/>
    <n v="199.04255357142887"/>
    <n v="450"/>
  </r>
  <r>
    <x v="4"/>
    <x v="1"/>
    <x v="3"/>
    <x v="2"/>
    <n v="10"/>
    <n v="2990"/>
    <n v="932.10000000000014"/>
    <n v="276.4152857142858"/>
    <n v="299"/>
  </r>
  <r>
    <x v="4"/>
    <x v="1"/>
    <x v="4"/>
    <x v="2"/>
    <n v="15"/>
    <n v="8625"/>
    <n v="2104"/>
    <n v="838.44428571428693"/>
    <n v="575"/>
  </r>
  <r>
    <x v="4"/>
    <x v="1"/>
    <x v="0"/>
    <x v="0"/>
    <n v="10"/>
    <n v="3350"/>
    <n v="1193.6000000000001"/>
    <n v="297.54342857142888"/>
    <n v="335"/>
  </r>
  <r>
    <x v="4"/>
    <x v="1"/>
    <x v="1"/>
    <x v="0"/>
    <n v="5"/>
    <n v="3000"/>
    <n v="641.80000000000007"/>
    <n v="296.6734285714287"/>
    <n v="600"/>
  </r>
  <r>
    <x v="4"/>
    <x v="1"/>
    <x v="8"/>
    <x v="3"/>
    <n v="5"/>
    <n v="995"/>
    <n v="272.8"/>
    <n v="94.331142857142964"/>
    <n v="199"/>
  </r>
  <r>
    <x v="4"/>
    <x v="1"/>
    <x v="3"/>
    <x v="2"/>
    <n v="5"/>
    <n v="1495"/>
    <n v="466.05000000000007"/>
    <n v="138.2076428571429"/>
    <n v="299"/>
  </r>
  <r>
    <x v="4"/>
    <x v="1"/>
    <x v="4"/>
    <x v="2"/>
    <n v="5"/>
    <n v="2875"/>
    <n v="775"/>
    <n v="276.48214285714317"/>
    <n v="575"/>
  </r>
  <r>
    <x v="4"/>
    <x v="1"/>
    <x v="0"/>
    <x v="0"/>
    <n v="5"/>
    <n v="1675"/>
    <n v="596.80000000000007"/>
    <n v="148.77171428571444"/>
    <n v="335"/>
  </r>
  <r>
    <x v="4"/>
    <x v="1"/>
    <x v="1"/>
    <x v="0"/>
    <n v="5"/>
    <n v="3000"/>
    <n v="641.80000000000007"/>
    <n v="296.6734285714287"/>
    <n v="600"/>
  </r>
  <r>
    <x v="4"/>
    <x v="1"/>
    <x v="11"/>
    <x v="1"/>
    <n v="5"/>
    <n v="825"/>
    <n v="296.70000000000005"/>
    <n v="72.816107142857192"/>
    <n v="165"/>
  </r>
  <r>
    <x v="4"/>
    <x v="1"/>
    <x v="9"/>
    <x v="3"/>
    <n v="15"/>
    <n v="6750"/>
    <n v="2401.65"/>
    <n v="597.12766071428632"/>
    <n v="450"/>
  </r>
  <r>
    <x v="4"/>
    <x v="1"/>
    <x v="3"/>
    <x v="2"/>
    <n v="5"/>
    <n v="1495"/>
    <n v="466.05000000000007"/>
    <n v="138.2076428571429"/>
    <n v="299"/>
  </r>
  <r>
    <x v="4"/>
    <x v="1"/>
    <x v="4"/>
    <x v="2"/>
    <n v="30"/>
    <n v="17250"/>
    <n v="3881.9"/>
    <n v="1690.1655000000005"/>
    <n v="575"/>
  </r>
  <r>
    <x v="4"/>
    <x v="1"/>
    <x v="2"/>
    <x v="1"/>
    <n v="5"/>
    <n v="1875"/>
    <n v="764.95"/>
    <n v="157.45462500000002"/>
    <n v="375"/>
  </r>
  <r>
    <x v="4"/>
    <x v="1"/>
    <x v="3"/>
    <x v="2"/>
    <n v="5"/>
    <n v="1495"/>
    <n v="466.05000000000007"/>
    <n v="138.2076428571429"/>
    <n v="299"/>
  </r>
  <r>
    <x v="4"/>
    <x v="1"/>
    <x v="4"/>
    <x v="2"/>
    <n v="10"/>
    <n v="5750"/>
    <n v="1439.5"/>
    <n v="557.46321428571491"/>
    <n v="575"/>
  </r>
  <r>
    <x v="4"/>
    <x v="1"/>
    <x v="1"/>
    <x v="0"/>
    <n v="10"/>
    <n v="6000"/>
    <n v="1519.4"/>
    <n v="584.25171428571502"/>
    <n v="600"/>
  </r>
  <r>
    <x v="4"/>
    <x v="1"/>
    <x v="9"/>
    <x v="3"/>
    <n v="10"/>
    <n v="4500"/>
    <n v="1601.1000000000001"/>
    <n v="398.08510714285774"/>
    <n v="450"/>
  </r>
  <r>
    <x v="4"/>
    <x v="1"/>
    <x v="3"/>
    <x v="2"/>
    <n v="5"/>
    <n v="1495"/>
    <n v="466.05000000000007"/>
    <n v="138.2076428571429"/>
    <n v="299"/>
  </r>
  <r>
    <x v="4"/>
    <x v="1"/>
    <x v="4"/>
    <x v="2"/>
    <n v="5"/>
    <n v="2875"/>
    <n v="775"/>
    <n v="276.48214285714317"/>
    <n v="575"/>
  </r>
  <r>
    <x v="4"/>
    <x v="1"/>
    <x v="0"/>
    <x v="0"/>
    <n v="10"/>
    <n v="3350"/>
    <n v="1193.6000000000001"/>
    <n v="297.54342857142888"/>
    <n v="335"/>
  </r>
  <r>
    <x v="4"/>
    <x v="1"/>
    <x v="11"/>
    <x v="1"/>
    <n v="5"/>
    <n v="825"/>
    <n v="296.70000000000005"/>
    <n v="72.816107142857192"/>
    <n v="165"/>
  </r>
  <r>
    <x v="4"/>
    <x v="1"/>
    <x v="3"/>
    <x v="2"/>
    <n v="15"/>
    <n v="4485"/>
    <n v="1398.15"/>
    <n v="414.6229285714287"/>
    <n v="299"/>
  </r>
  <r>
    <x v="4"/>
    <x v="1"/>
    <x v="4"/>
    <x v="2"/>
    <n v="5"/>
    <n v="2875"/>
    <n v="664.49999999999989"/>
    <n v="280.98107142857174"/>
    <n v="575"/>
  </r>
  <r>
    <x v="4"/>
    <x v="1"/>
    <x v="0"/>
    <x v="0"/>
    <n v="20"/>
    <n v="6700"/>
    <n v="2387.2000000000003"/>
    <n v="595.08685714285775"/>
    <n v="335"/>
  </r>
  <r>
    <x v="4"/>
    <x v="1"/>
    <x v="11"/>
    <x v="1"/>
    <n v="10"/>
    <n v="1650"/>
    <n v="619.80000000000007"/>
    <n v="144.24621428571442"/>
    <n v="165"/>
  </r>
  <r>
    <x v="4"/>
    <x v="1"/>
    <x v="8"/>
    <x v="3"/>
    <n v="5"/>
    <n v="995"/>
    <n v="272.8"/>
    <n v="94.331142857142964"/>
    <n v="199"/>
  </r>
  <r>
    <x v="4"/>
    <x v="1"/>
    <x v="3"/>
    <x v="2"/>
    <n v="5"/>
    <n v="1495"/>
    <n v="466.05000000000007"/>
    <n v="138.2076428571429"/>
    <n v="299"/>
  </r>
  <r>
    <x v="4"/>
    <x v="1"/>
    <x v="4"/>
    <x v="2"/>
    <n v="5"/>
    <n v="2875"/>
    <n v="664.49999999999989"/>
    <n v="280.98107142857174"/>
    <n v="575"/>
  </r>
  <r>
    <x v="4"/>
    <x v="1"/>
    <x v="11"/>
    <x v="1"/>
    <n v="5"/>
    <n v="825"/>
    <n v="296.70000000000005"/>
    <n v="72.816107142857192"/>
    <n v="165"/>
  </r>
  <r>
    <x v="4"/>
    <x v="1"/>
    <x v="9"/>
    <x v="3"/>
    <n v="5"/>
    <n v="2250"/>
    <n v="800.55000000000007"/>
    <n v="199.04255357142887"/>
    <n v="450"/>
  </r>
  <r>
    <x v="4"/>
    <x v="1"/>
    <x v="3"/>
    <x v="2"/>
    <n v="20"/>
    <n v="5980"/>
    <n v="1864.2000000000003"/>
    <n v="552.8305714285716"/>
    <n v="299"/>
  </r>
  <r>
    <x v="4"/>
    <x v="1"/>
    <x v="4"/>
    <x v="2"/>
    <n v="5"/>
    <n v="2875"/>
    <n v="775"/>
    <n v="276.48214285714317"/>
    <n v="575"/>
  </r>
  <r>
    <x v="4"/>
    <x v="1"/>
    <x v="0"/>
    <x v="0"/>
    <n v="5"/>
    <n v="1675"/>
    <n v="596.80000000000007"/>
    <n v="148.77171428571444"/>
    <n v="335"/>
  </r>
  <r>
    <x v="4"/>
    <x v="1"/>
    <x v="11"/>
    <x v="1"/>
    <n v="5"/>
    <n v="825"/>
    <n v="296.70000000000005"/>
    <n v="72.816107142857192"/>
    <n v="165"/>
  </r>
  <r>
    <x v="4"/>
    <x v="1"/>
    <x v="9"/>
    <x v="3"/>
    <n v="5"/>
    <n v="2250"/>
    <n v="765"/>
    <n v="200.90892857142876"/>
    <n v="450"/>
  </r>
  <r>
    <x v="4"/>
    <x v="1"/>
    <x v="3"/>
    <x v="2"/>
    <n v="20"/>
    <n v="5980"/>
    <n v="1864.2000000000003"/>
    <n v="552.8305714285716"/>
    <n v="299"/>
  </r>
  <r>
    <x v="4"/>
    <x v="1"/>
    <x v="4"/>
    <x v="2"/>
    <n v="5"/>
    <n v="2875"/>
    <n v="664.49999999999989"/>
    <n v="280.98107142857174"/>
    <n v="575"/>
  </r>
  <r>
    <x v="4"/>
    <x v="1"/>
    <x v="0"/>
    <x v="0"/>
    <n v="5"/>
    <n v="1675"/>
    <n v="596.80000000000007"/>
    <n v="148.77171428571444"/>
    <n v="335"/>
  </r>
  <r>
    <x v="4"/>
    <x v="1"/>
    <x v="9"/>
    <x v="3"/>
    <n v="5"/>
    <n v="2250"/>
    <n v="800.55000000000007"/>
    <n v="199.04255357142887"/>
    <n v="450"/>
  </r>
  <r>
    <x v="4"/>
    <x v="1"/>
    <x v="3"/>
    <x v="2"/>
    <n v="5"/>
    <n v="1495"/>
    <n v="466.05000000000007"/>
    <n v="138.2076428571429"/>
    <n v="299"/>
  </r>
  <r>
    <x v="4"/>
    <x v="1"/>
    <x v="4"/>
    <x v="2"/>
    <n v="5"/>
    <n v="2875"/>
    <n v="775"/>
    <n v="276.48214285714317"/>
    <n v="575"/>
  </r>
  <r>
    <x v="4"/>
    <x v="1"/>
    <x v="1"/>
    <x v="0"/>
    <n v="5"/>
    <n v="3000"/>
    <n v="641.80000000000007"/>
    <n v="296.6734285714287"/>
    <n v="600"/>
  </r>
  <r>
    <x v="4"/>
    <x v="1"/>
    <x v="2"/>
    <x v="1"/>
    <n v="5"/>
    <n v="1875"/>
    <n v="764.95"/>
    <n v="157.45462500000002"/>
    <n v="375"/>
  </r>
  <r>
    <x v="4"/>
    <x v="1"/>
    <x v="9"/>
    <x v="3"/>
    <n v="5"/>
    <n v="2250"/>
    <n v="800.55000000000007"/>
    <n v="199.04255357142887"/>
    <n v="450"/>
  </r>
  <r>
    <x v="4"/>
    <x v="1"/>
    <x v="3"/>
    <x v="2"/>
    <n v="10"/>
    <n v="2990"/>
    <n v="932.10000000000014"/>
    <n v="276.4152857142858"/>
    <n v="299"/>
  </r>
  <r>
    <x v="4"/>
    <x v="1"/>
    <x v="4"/>
    <x v="2"/>
    <n v="5"/>
    <n v="2875"/>
    <n v="775"/>
    <n v="276.48214285714317"/>
    <n v="575"/>
  </r>
  <r>
    <x v="4"/>
    <x v="1"/>
    <x v="0"/>
    <x v="0"/>
    <n v="5"/>
    <n v="1675"/>
    <n v="596.80000000000007"/>
    <n v="148.77171428571444"/>
    <n v="335"/>
  </r>
  <r>
    <x v="4"/>
    <x v="1"/>
    <x v="3"/>
    <x v="2"/>
    <n v="10"/>
    <n v="2990"/>
    <n v="932.10000000000014"/>
    <n v="276.4152857142858"/>
    <n v="299"/>
  </r>
  <r>
    <x v="4"/>
    <x v="1"/>
    <x v="4"/>
    <x v="2"/>
    <n v="10"/>
    <n v="5750"/>
    <n v="1550"/>
    <n v="552.96428571428635"/>
    <n v="575"/>
  </r>
  <r>
    <x v="4"/>
    <x v="1"/>
    <x v="0"/>
    <x v="0"/>
    <n v="5"/>
    <n v="1675"/>
    <n v="596.80000000000007"/>
    <n v="148.77171428571444"/>
    <n v="335"/>
  </r>
  <r>
    <x v="4"/>
    <x v="1"/>
    <x v="11"/>
    <x v="1"/>
    <n v="5"/>
    <n v="825"/>
    <n v="323.10000000000002"/>
    <n v="71.430107142857224"/>
    <n v="165"/>
  </r>
  <r>
    <x v="4"/>
    <x v="1"/>
    <x v="3"/>
    <x v="2"/>
    <n v="10"/>
    <n v="2990"/>
    <n v="932.10000000000014"/>
    <n v="276.4152857142858"/>
    <n v="299"/>
  </r>
  <r>
    <x v="4"/>
    <x v="1"/>
    <x v="11"/>
    <x v="1"/>
    <n v="5"/>
    <n v="825"/>
    <n v="296.70000000000005"/>
    <n v="72.816107142857192"/>
    <n v="165"/>
  </r>
  <r>
    <x v="4"/>
    <x v="1"/>
    <x v="9"/>
    <x v="3"/>
    <n v="10"/>
    <n v="4500"/>
    <n v="1601.1000000000001"/>
    <n v="398.08510714285774"/>
    <n v="450"/>
  </r>
  <r>
    <x v="4"/>
    <x v="1"/>
    <x v="3"/>
    <x v="2"/>
    <n v="5"/>
    <n v="1495"/>
    <n v="466.05000000000007"/>
    <n v="138.2076428571429"/>
    <n v="299"/>
  </r>
  <r>
    <x v="4"/>
    <x v="1"/>
    <x v="4"/>
    <x v="2"/>
    <n v="15"/>
    <n v="8625"/>
    <n v="2214.5"/>
    <n v="833.9453571428578"/>
    <n v="575"/>
  </r>
  <r>
    <x v="4"/>
    <x v="1"/>
    <x v="0"/>
    <x v="0"/>
    <n v="5"/>
    <n v="1675"/>
    <n v="596.80000000000007"/>
    <n v="148.77171428571444"/>
    <n v="335"/>
  </r>
  <r>
    <x v="4"/>
    <x v="1"/>
    <x v="2"/>
    <x v="1"/>
    <n v="5"/>
    <n v="1875"/>
    <n v="764.95"/>
    <n v="157.45462500000002"/>
    <n v="375"/>
  </r>
  <r>
    <x v="4"/>
    <x v="1"/>
    <x v="4"/>
    <x v="2"/>
    <n v="30"/>
    <n v="17250"/>
    <n v="4650"/>
    <n v="1658.8928571428573"/>
    <n v="575"/>
  </r>
  <r>
    <x v="4"/>
    <x v="1"/>
    <x v="3"/>
    <x v="2"/>
    <n v="5"/>
    <n v="1495"/>
    <n v="466.05000000000007"/>
    <n v="138.2076428571429"/>
    <n v="299"/>
  </r>
  <r>
    <x v="4"/>
    <x v="1"/>
    <x v="4"/>
    <x v="2"/>
    <n v="5"/>
    <n v="2875"/>
    <n v="775"/>
    <n v="276.48214285714317"/>
    <n v="575"/>
  </r>
  <r>
    <x v="4"/>
    <x v="1"/>
    <x v="0"/>
    <x v="0"/>
    <n v="10"/>
    <n v="3350"/>
    <n v="1193.6000000000001"/>
    <n v="297.54342857142888"/>
    <n v="335"/>
  </r>
  <r>
    <x v="4"/>
    <x v="1"/>
    <x v="1"/>
    <x v="0"/>
    <n v="5"/>
    <n v="3000"/>
    <n v="641.80000000000007"/>
    <n v="296.6734285714287"/>
    <n v="600"/>
  </r>
  <r>
    <x v="4"/>
    <x v="1"/>
    <x v="11"/>
    <x v="1"/>
    <n v="5"/>
    <n v="825"/>
    <n v="323.10000000000002"/>
    <n v="71.430107142857224"/>
    <n v="165"/>
  </r>
  <r>
    <x v="4"/>
    <x v="1"/>
    <x v="2"/>
    <x v="1"/>
    <n v="5"/>
    <n v="1875"/>
    <n v="764.95"/>
    <n v="157.45462500000002"/>
    <n v="375"/>
  </r>
  <r>
    <x v="4"/>
    <x v="1"/>
    <x v="9"/>
    <x v="3"/>
    <n v="10"/>
    <n v="4500"/>
    <n v="1532"/>
    <n v="401.71285714285773"/>
    <n v="450"/>
  </r>
  <r>
    <x v="4"/>
    <x v="1"/>
    <x v="3"/>
    <x v="2"/>
    <n v="10"/>
    <n v="2990"/>
    <n v="932.10000000000014"/>
    <n v="276.4152857142858"/>
    <n v="299"/>
  </r>
  <r>
    <x v="4"/>
    <x v="1"/>
    <x v="0"/>
    <x v="0"/>
    <n v="5"/>
    <n v="1675"/>
    <n v="596.80000000000007"/>
    <n v="148.77171428571444"/>
    <n v="335"/>
  </r>
  <r>
    <x v="4"/>
    <x v="1"/>
    <x v="11"/>
    <x v="1"/>
    <n v="5"/>
    <n v="825"/>
    <n v="296.70000000000005"/>
    <n v="72.816107142857192"/>
    <n v="165"/>
  </r>
  <r>
    <x v="4"/>
    <x v="1"/>
    <x v="3"/>
    <x v="2"/>
    <n v="5"/>
    <n v="1495"/>
    <n v="466.05000000000007"/>
    <n v="138.2076428571429"/>
    <n v="299"/>
  </r>
  <r>
    <x v="4"/>
    <x v="1"/>
    <x v="0"/>
    <x v="0"/>
    <n v="5"/>
    <n v="1675"/>
    <n v="596.80000000000007"/>
    <n v="148.77171428571444"/>
    <n v="335"/>
  </r>
  <r>
    <x v="4"/>
    <x v="1"/>
    <x v="11"/>
    <x v="1"/>
    <n v="5"/>
    <n v="825"/>
    <n v="296.70000000000005"/>
    <n v="72.816107142857192"/>
    <n v="165"/>
  </r>
  <r>
    <x v="4"/>
    <x v="1"/>
    <x v="8"/>
    <x v="3"/>
    <n v="5"/>
    <n v="995"/>
    <n v="272.8"/>
    <n v="94.331142857142964"/>
    <n v="199"/>
  </r>
  <r>
    <x v="4"/>
    <x v="1"/>
    <x v="9"/>
    <x v="3"/>
    <n v="5"/>
    <n v="2250"/>
    <n v="800.55000000000007"/>
    <n v="199.04255357142887"/>
    <n v="450"/>
  </r>
  <r>
    <x v="4"/>
    <x v="1"/>
    <x v="3"/>
    <x v="2"/>
    <n v="5"/>
    <n v="1495"/>
    <n v="466.05000000000007"/>
    <n v="138.2076428571429"/>
    <n v="299"/>
  </r>
  <r>
    <x v="4"/>
    <x v="1"/>
    <x v="4"/>
    <x v="2"/>
    <n v="10"/>
    <n v="5750"/>
    <n v="1550"/>
    <n v="552.96428571428635"/>
    <n v="575"/>
  </r>
  <r>
    <x v="4"/>
    <x v="1"/>
    <x v="9"/>
    <x v="3"/>
    <n v="5"/>
    <n v="2250"/>
    <n v="800.55000000000007"/>
    <n v="199.04255357142887"/>
    <n v="450"/>
  </r>
  <r>
    <x v="4"/>
    <x v="1"/>
    <x v="3"/>
    <x v="2"/>
    <n v="5"/>
    <n v="1495"/>
    <n v="466.05000000000007"/>
    <n v="138.2076428571429"/>
    <n v="299"/>
  </r>
  <r>
    <x v="4"/>
    <x v="1"/>
    <x v="0"/>
    <x v="0"/>
    <n v="5"/>
    <n v="1675"/>
    <n v="596.80000000000007"/>
    <n v="148.77171428571444"/>
    <n v="335"/>
  </r>
  <r>
    <x v="4"/>
    <x v="1"/>
    <x v="1"/>
    <x v="0"/>
    <n v="5"/>
    <n v="3000"/>
    <n v="759.7"/>
    <n v="292.12585714285751"/>
    <n v="600"/>
  </r>
  <r>
    <x v="4"/>
    <x v="1"/>
    <x v="2"/>
    <x v="1"/>
    <n v="5"/>
    <n v="1875"/>
    <n v="764.95"/>
    <n v="157.45462500000002"/>
    <n v="375"/>
  </r>
  <r>
    <x v="4"/>
    <x v="1"/>
    <x v="4"/>
    <x v="2"/>
    <n v="5"/>
    <n v="2875"/>
    <n v="775"/>
    <n v="276.48214285714317"/>
    <n v="575"/>
  </r>
  <r>
    <x v="4"/>
    <x v="1"/>
    <x v="0"/>
    <x v="0"/>
    <n v="15"/>
    <n v="5025"/>
    <n v="1737.9"/>
    <n v="449.01514285714313"/>
    <n v="335"/>
  </r>
  <r>
    <x v="4"/>
    <x v="0"/>
    <x v="3"/>
    <x v="2"/>
    <n v="20"/>
    <n v="5980"/>
    <n v="1814"/>
    <n v="555.19714285714315"/>
    <n v="299"/>
  </r>
  <r>
    <x v="4"/>
    <x v="0"/>
    <x v="4"/>
    <x v="2"/>
    <n v="5"/>
    <n v="2875"/>
    <n v="775"/>
    <n v="276.48214285714317"/>
    <n v="575"/>
  </r>
  <r>
    <x v="4"/>
    <x v="0"/>
    <x v="0"/>
    <x v="0"/>
    <n v="10"/>
    <n v="3350"/>
    <n v="1193.6000000000001"/>
    <n v="297.54342857142888"/>
    <n v="335"/>
  </r>
  <r>
    <x v="4"/>
    <x v="0"/>
    <x v="1"/>
    <x v="0"/>
    <n v="5"/>
    <n v="3000"/>
    <n v="759.7"/>
    <n v="292.12585714285751"/>
    <n v="600"/>
  </r>
  <r>
    <x v="4"/>
    <x v="0"/>
    <x v="11"/>
    <x v="1"/>
    <n v="10"/>
    <n v="1650"/>
    <n v="646.20000000000005"/>
    <n v="142.86021428571445"/>
    <n v="165"/>
  </r>
  <r>
    <x v="4"/>
    <x v="0"/>
    <x v="3"/>
    <x v="2"/>
    <n v="20"/>
    <n v="5980"/>
    <n v="1398.15"/>
    <n v="574.80150000000037"/>
    <n v="299"/>
  </r>
  <r>
    <x v="4"/>
    <x v="0"/>
    <x v="4"/>
    <x v="2"/>
    <n v="10"/>
    <n v="5750"/>
    <n v="1439.5"/>
    <n v="557.46321428571491"/>
    <n v="575"/>
  </r>
  <r>
    <x v="4"/>
    <x v="0"/>
    <x v="0"/>
    <x v="0"/>
    <n v="10"/>
    <n v="3350"/>
    <n v="596.80000000000007"/>
    <n v="328.23599999999999"/>
    <n v="335"/>
  </r>
  <r>
    <x v="4"/>
    <x v="0"/>
    <x v="11"/>
    <x v="1"/>
    <n v="5"/>
    <n v="825"/>
    <n v="0"/>
    <n v="88.392857142857224"/>
    <n v="165"/>
  </r>
  <r>
    <x v="4"/>
    <x v="0"/>
    <x v="2"/>
    <x v="1"/>
    <n v="5"/>
    <n v="1875"/>
    <n v="820.45"/>
    <n v="154.30301785714306"/>
    <n v="375"/>
  </r>
  <r>
    <x v="4"/>
    <x v="0"/>
    <x v="9"/>
    <x v="3"/>
    <n v="5"/>
    <n v="2250"/>
    <n v="800.55000000000007"/>
    <n v="199.04255357142887"/>
    <n v="450"/>
  </r>
  <r>
    <x v="4"/>
    <x v="0"/>
    <x v="3"/>
    <x v="2"/>
    <n v="15"/>
    <n v="4485"/>
    <n v="1398.15"/>
    <n v="414.6229285714287"/>
    <n v="299"/>
  </r>
  <r>
    <x v="4"/>
    <x v="0"/>
    <x v="0"/>
    <x v="0"/>
    <n v="5"/>
    <n v="1675"/>
    <n v="596.80000000000007"/>
    <n v="148.77171428571444"/>
    <n v="335"/>
  </r>
  <r>
    <x v="4"/>
    <x v="0"/>
    <x v="11"/>
    <x v="1"/>
    <n v="15"/>
    <n v="2475"/>
    <n v="865"/>
    <n v="219.76607142857148"/>
    <n v="165"/>
  </r>
  <r>
    <x v="4"/>
    <x v="0"/>
    <x v="2"/>
    <x v="1"/>
    <n v="5"/>
    <n v="1875"/>
    <n v="764.95"/>
    <n v="157.45462500000002"/>
    <n v="375"/>
  </r>
  <r>
    <x v="4"/>
    <x v="0"/>
    <x v="3"/>
    <x v="2"/>
    <n v="5"/>
    <n v="1495"/>
    <n v="466.05000000000007"/>
    <n v="138.2076428571429"/>
    <n v="299"/>
  </r>
  <r>
    <x v="4"/>
    <x v="0"/>
    <x v="4"/>
    <x v="2"/>
    <n v="5"/>
    <n v="2875"/>
    <n v="775"/>
    <n v="276.48214285714317"/>
    <n v="575"/>
  </r>
  <r>
    <x v="4"/>
    <x v="0"/>
    <x v="9"/>
    <x v="3"/>
    <n v="5"/>
    <n v="2250"/>
    <n v="800.55000000000007"/>
    <n v="199.04255357142887"/>
    <n v="450"/>
  </r>
  <r>
    <x v="4"/>
    <x v="0"/>
    <x v="4"/>
    <x v="2"/>
    <n v="5"/>
    <n v="2875"/>
    <n v="775"/>
    <n v="276.48214285714317"/>
    <n v="575"/>
  </r>
  <r>
    <x v="4"/>
    <x v="0"/>
    <x v="11"/>
    <x v="1"/>
    <n v="10"/>
    <n v="1650"/>
    <n v="568.29999999999995"/>
    <n v="146.94996428571443"/>
    <n v="165"/>
  </r>
  <r>
    <x v="4"/>
    <x v="0"/>
    <x v="9"/>
    <x v="3"/>
    <n v="5"/>
    <n v="2250"/>
    <n v="800.55000000000007"/>
    <n v="199.04255357142887"/>
    <n v="450"/>
  </r>
  <r>
    <x v="4"/>
    <x v="0"/>
    <x v="3"/>
    <x v="2"/>
    <n v="15"/>
    <n v="4485"/>
    <n v="1398.15"/>
    <n v="414.6229285714287"/>
    <n v="299"/>
  </r>
  <r>
    <x v="4"/>
    <x v="0"/>
    <x v="4"/>
    <x v="2"/>
    <n v="5"/>
    <n v="2875"/>
    <n v="664.49999999999989"/>
    <n v="280.98107142857174"/>
    <n v="575"/>
  </r>
  <r>
    <x v="4"/>
    <x v="0"/>
    <x v="11"/>
    <x v="1"/>
    <n v="15"/>
    <n v="2475"/>
    <n v="942.90000000000009"/>
    <n v="215.6763214285715"/>
    <n v="165"/>
  </r>
  <r>
    <x v="4"/>
    <x v="0"/>
    <x v="3"/>
    <x v="2"/>
    <n v="5"/>
    <n v="1495"/>
    <n v="466.05000000000007"/>
    <n v="138.2076428571429"/>
    <n v="299"/>
  </r>
  <r>
    <x v="4"/>
    <x v="0"/>
    <x v="2"/>
    <x v="1"/>
    <n v="10"/>
    <n v="3750"/>
    <n v="1529.9"/>
    <n v="314.90925000000004"/>
    <n v="375"/>
  </r>
  <r>
    <x v="4"/>
    <x v="0"/>
    <x v="8"/>
    <x v="3"/>
    <n v="5"/>
    <n v="995"/>
    <n v="222.24999999999994"/>
    <n v="96.605892857142948"/>
    <n v="1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95DA32-FDC5-456F-8B5B-577B5ADCF9E9}"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5">
  <location ref="A3:D9" firstHeaderRow="0" firstDataRow="1" firstDataCol="1"/>
  <pivotFields count="9">
    <pivotField axis="axisRow" showAll="0">
      <items count="6">
        <item sd="0" x="0"/>
        <item sd="0" x="4"/>
        <item sd="0" x="3"/>
        <item sd="0" x="1"/>
        <item sd="0" x="2"/>
        <item t="default" sd="0"/>
      </items>
    </pivotField>
    <pivotField showAll="0">
      <items count="3">
        <item x="1"/>
        <item x="0"/>
        <item t="default"/>
      </items>
    </pivotField>
    <pivotField axis="axisRow" showAll="0">
      <items count="14">
        <item x="3"/>
        <item x="4"/>
        <item x="5"/>
        <item x="12"/>
        <item x="8"/>
        <item x="9"/>
        <item x="10"/>
        <item x="0"/>
        <item x="1"/>
        <item x="7"/>
        <item x="11"/>
        <item x="2"/>
        <item x="6"/>
        <item t="default"/>
      </items>
    </pivotField>
    <pivotField showAll="0">
      <items count="6">
        <item x="2"/>
        <item x="3"/>
        <item x="0"/>
        <item x="4"/>
        <item x="1"/>
        <item t="default"/>
      </items>
    </pivotField>
    <pivotField dataField="1" showAll="0"/>
    <pivotField dataField="1" numFmtId="1" showAll="0"/>
    <pivotField numFmtId="2" showAll="0"/>
    <pivotField dataField="1" numFmtId="2" showAll="0"/>
    <pivotField numFmtId="2" showAll="0"/>
  </pivotFields>
  <rowFields count="2">
    <field x="0"/>
    <field x="2"/>
  </rowFields>
  <rowItems count="6">
    <i>
      <x/>
    </i>
    <i>
      <x v="1"/>
    </i>
    <i>
      <x v="2"/>
    </i>
    <i>
      <x v="3"/>
    </i>
    <i>
      <x v="4"/>
    </i>
    <i t="grand">
      <x/>
    </i>
  </rowItems>
  <colFields count="1">
    <field x="-2"/>
  </colFields>
  <colItems count="3">
    <i>
      <x/>
    </i>
    <i i="1">
      <x v="1"/>
    </i>
    <i i="2">
      <x v="2"/>
    </i>
  </colItems>
  <dataFields count="3">
    <dataField name="Sum of Qty" fld="4" baseField="0" baseItem="0"/>
    <dataField name="Sum of MRP Sales" fld="5" baseField="0" baseItem="0"/>
    <dataField name="Sum of Taxes" fld="7" baseField="0" baseItem="0"/>
  </dataFields>
  <chartFormats count="9">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19" format="2" series="1">
      <pivotArea type="data" outline="0" fieldPosition="0">
        <references count="1">
          <reference field="4294967294" count="1" selected="0">
            <x v="2"/>
          </reference>
        </references>
      </pivotArea>
    </chartFormat>
    <chartFormat chart="22" format="3"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1"/>
          </reference>
        </references>
      </pivotArea>
    </chartFormat>
    <chartFormat chart="22" format="5" series="1">
      <pivotArea type="data" outline="0" fieldPosition="0">
        <references count="1">
          <reference field="4294967294" count="1" selected="0">
            <x v="2"/>
          </reference>
        </references>
      </pivotArea>
    </chartFormat>
    <chartFormat chart="24" format="6"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1"/>
          </reference>
        </references>
      </pivotArea>
    </chartFormat>
    <chartFormat chart="2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9881B8-EC89-4F13-A080-A28D06E8AF26}"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5:B84" firstHeaderRow="1" firstDataRow="1" firstDataCol="1"/>
  <pivotFields count="9">
    <pivotField showAll="0"/>
    <pivotField showAll="0"/>
    <pivotField axis="axisRow" showAll="0">
      <items count="14">
        <item x="3"/>
        <item x="4"/>
        <item x="5"/>
        <item x="12"/>
        <item x="8"/>
        <item x="9"/>
        <item x="10"/>
        <item x="0"/>
        <item x="1"/>
        <item x="7"/>
        <item x="11"/>
        <item x="2"/>
        <item x="6"/>
        <item t="default"/>
      </items>
    </pivotField>
    <pivotField axis="axisRow" showAll="0">
      <items count="6">
        <item x="2"/>
        <item x="3"/>
        <item x="0"/>
        <item x="4"/>
        <item x="1"/>
        <item t="default"/>
      </items>
    </pivotField>
    <pivotField showAll="0"/>
    <pivotField numFmtId="1" showAll="0"/>
    <pivotField numFmtId="2" showAll="0"/>
    <pivotField numFmtId="2" showAll="0"/>
    <pivotField dataField="1" numFmtId="2" showAll="0"/>
  </pivotFields>
  <rowFields count="2">
    <field x="3"/>
    <field x="2"/>
  </rowFields>
  <rowItems count="19">
    <i>
      <x/>
    </i>
    <i r="1">
      <x/>
    </i>
    <i r="1">
      <x v="1"/>
    </i>
    <i r="1">
      <x v="2"/>
    </i>
    <i>
      <x v="1"/>
    </i>
    <i r="1">
      <x v="4"/>
    </i>
    <i r="1">
      <x v="5"/>
    </i>
    <i r="1">
      <x v="6"/>
    </i>
    <i>
      <x v="2"/>
    </i>
    <i r="1">
      <x v="7"/>
    </i>
    <i r="1">
      <x v="8"/>
    </i>
    <i r="1">
      <x v="9"/>
    </i>
    <i>
      <x v="3"/>
    </i>
    <i r="1">
      <x v="3"/>
    </i>
    <i>
      <x v="4"/>
    </i>
    <i r="1">
      <x v="10"/>
    </i>
    <i r="1">
      <x v="11"/>
    </i>
    <i r="1">
      <x v="12"/>
    </i>
    <i t="grand">
      <x/>
    </i>
  </rowItems>
  <colItems count="1">
    <i/>
  </colItems>
  <dataFields count="1">
    <dataField name="Sum of ASP"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F3B42A-4200-49DD-BB8B-1C76E198CAE7}"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1">
  <location ref="A43:B49" firstHeaderRow="1" firstDataRow="1" firstDataCol="1"/>
  <pivotFields count="9">
    <pivotField showAll="0">
      <items count="6">
        <item x="0"/>
        <item x="4"/>
        <item x="3"/>
        <item x="1"/>
        <item x="2"/>
        <item t="default"/>
      </items>
    </pivotField>
    <pivotField showAll="0">
      <items count="3">
        <item x="1"/>
        <item x="0"/>
        <item t="default"/>
      </items>
    </pivotField>
    <pivotField showAll="0" sortType="descending">
      <autoSortScope>
        <pivotArea dataOnly="0" outline="0" fieldPosition="0">
          <references count="1">
            <reference field="4294967294" count="1" selected="0">
              <x v="0"/>
            </reference>
          </references>
        </pivotArea>
      </autoSortScope>
    </pivotField>
    <pivotField axis="axisRow" showAll="0" sortType="descending">
      <items count="6">
        <item x="1"/>
        <item x="4"/>
        <item x="0"/>
        <item x="3"/>
        <item x="2"/>
        <item t="default"/>
      </items>
      <autoSortScope>
        <pivotArea dataOnly="0" outline="0" fieldPosition="0">
          <references count="1">
            <reference field="4294967294" count="1" selected="0">
              <x v="0"/>
            </reference>
          </references>
        </pivotArea>
      </autoSortScope>
    </pivotField>
    <pivotField showAll="0"/>
    <pivotField dataField="1" numFmtId="1" showAll="0"/>
    <pivotField numFmtId="2" showAll="0"/>
    <pivotField numFmtId="2" showAll="0"/>
    <pivotField numFmtId="2" showAll="0"/>
  </pivotFields>
  <rowFields count="1">
    <field x="3"/>
  </rowFields>
  <rowItems count="6">
    <i>
      <x v="2"/>
    </i>
    <i>
      <x v="4"/>
    </i>
    <i>
      <x/>
    </i>
    <i>
      <x v="3"/>
    </i>
    <i>
      <x v="1"/>
    </i>
    <i t="grand">
      <x/>
    </i>
  </rowItems>
  <colItems count="1">
    <i/>
  </colItems>
  <dataFields count="1">
    <dataField name="Sum of MRP Sales" fld="5" baseField="0" baseItem="0"/>
  </dataFields>
  <chartFormats count="8">
    <chartFormat chart="56" format="0" series="1">
      <pivotArea type="data" outline="0" fieldPosition="0">
        <references count="1">
          <reference field="4294967294" count="1" selected="0">
            <x v="0"/>
          </reference>
        </references>
      </pivotArea>
    </chartFormat>
    <chartFormat chart="59" format="1" series="1">
      <pivotArea type="data" outline="0" fieldPosition="0">
        <references count="1">
          <reference field="4294967294" count="1" selected="0">
            <x v="0"/>
          </reference>
        </references>
      </pivotArea>
    </chartFormat>
    <chartFormat chart="60" format="2" series="1">
      <pivotArea type="data" outline="0" fieldPosition="0">
        <references count="1">
          <reference field="4294967294" count="1" selected="0">
            <x v="0"/>
          </reference>
        </references>
      </pivotArea>
    </chartFormat>
    <chartFormat chart="60" format="3">
      <pivotArea type="data" outline="0" fieldPosition="0">
        <references count="2">
          <reference field="4294967294" count="1" selected="0">
            <x v="0"/>
          </reference>
          <reference field="3" count="1" selected="0">
            <x v="2"/>
          </reference>
        </references>
      </pivotArea>
    </chartFormat>
    <chartFormat chart="60" format="4">
      <pivotArea type="data" outline="0" fieldPosition="0">
        <references count="2">
          <reference field="4294967294" count="1" selected="0">
            <x v="0"/>
          </reference>
          <reference field="3" count="1" selected="0">
            <x v="1"/>
          </reference>
        </references>
      </pivotArea>
    </chartFormat>
    <chartFormat chart="60" format="5">
      <pivotArea type="data" outline="0" fieldPosition="0">
        <references count="2">
          <reference field="4294967294" count="1" selected="0">
            <x v="0"/>
          </reference>
          <reference field="3" count="1" selected="0">
            <x v="3"/>
          </reference>
        </references>
      </pivotArea>
    </chartFormat>
    <chartFormat chart="60" format="6">
      <pivotArea type="data" outline="0" fieldPosition="0">
        <references count="2">
          <reference field="4294967294" count="1" selected="0">
            <x v="0"/>
          </reference>
          <reference field="3" count="1" selected="0">
            <x v="0"/>
          </reference>
        </references>
      </pivotArea>
    </chartFormat>
    <chartFormat chart="60" format="8">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68C12AD1-9CA7-4450-8211-B592DE4D1BD1}" autoFormatId="16" applyNumberFormats="0" applyBorderFormats="0" applyFontFormats="0" applyPatternFormats="0" applyAlignmentFormats="0" applyWidthHeightFormats="0">
  <queryTableRefresh nextId="10">
    <queryTableFields count="9">
      <queryTableField id="1" name="Channel" tableColumnId="1"/>
      <queryTableField id="2" name="Month" tableColumnId="2"/>
      <queryTableField id="3" name="Master Sku" tableColumnId="3"/>
      <queryTableField id="4" name="Category" tableColumnId="4"/>
      <queryTableField id="5" name="Qty" tableColumnId="5"/>
      <queryTableField id="6" name="MRP Sales" tableColumnId="6"/>
      <queryTableField id="7" name="Discounts " tableColumnId="7"/>
      <queryTableField id="8" name="Taxes" tableColumnId="8"/>
      <queryTableField id="9" name="ASP"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95AE4121-BBAC-4942-96CB-2075F0F52D49}" sourceName="Channel">
  <pivotTables>
    <pivotTable tabId="8" name="PivotTable1"/>
    <pivotTable tabId="8" name="PivotTable3"/>
  </pivotTables>
  <data>
    <tabular pivotCacheId="505806695">
      <items count="5">
        <i x="0" s="1"/>
        <i x="4"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0AE94E0-63F5-425B-B4DA-A79F01192971}" sourceName="Category">
  <pivotTables>
    <pivotTable tabId="8" name="PivotTable1"/>
    <pivotTable tabId="8" name="PivotTable3"/>
  </pivotTables>
  <data>
    <tabular pivotCacheId="505806695">
      <items count="5">
        <i x="2" s="1"/>
        <i x="3" s="1"/>
        <i x="0"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8C966C5-8957-454B-B734-C71B985BCD60}" sourceName="Month">
  <pivotTables>
    <pivotTable tabId="8" name="PivotTable1"/>
    <pivotTable tabId="8" name="PivotTable3"/>
  </pivotTables>
  <data>
    <tabular pivotCacheId="50580669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F51409BC-CA03-499B-8325-0A2270699627}" cache="Slicer_Channel" caption="Channel" style="Slicer Style 3" rowHeight="234950"/>
  <slicer name="Category" xr10:uid="{D6B8E5BA-1035-4954-87BC-BD9A000F0E05}" cache="Slicer_Category" caption="Category" style="Slicer Style 3" rowHeight="234950"/>
  <slicer name="Month" xr10:uid="{3A94A9EF-B439-4F20-B10F-DF0869081067}" cache="Slicer_Month" caption="Month" style="Slicer Style 3" rowHeight="234950"/>
</slicers>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F2C2EA-D7BB-49DC-9FC0-C65C2CD97994}" name="AZ" displayName="AZ" ref="A1:I371" totalsRowShown="0" headerRowDxfId="63" dataDxfId="62">
  <autoFilter ref="A1:I371" xr:uid="{FEF2C2EA-D7BB-49DC-9FC0-C65C2CD97994}"/>
  <tableColumns count="9">
    <tableColumn id="1" xr3:uid="{B7533A97-F492-4ADA-AD6E-3B0B92AA0018}" name="Channel" dataDxfId="61"/>
    <tableColumn id="2" xr3:uid="{684D5827-AB61-4DD4-A332-335F4A081EF2}" name="Month" dataDxfId="60"/>
    <tableColumn id="3" xr3:uid="{F63F64DA-04D4-4C67-B09E-C423B317F6CB}" name="Master Sku" dataDxfId="59"/>
    <tableColumn id="4" xr3:uid="{9B6FC5DD-F9C1-463C-BAED-81F27AD3939C}" name="Category" dataDxfId="58"/>
    <tableColumn id="5" xr3:uid="{98ABAFF2-ED7F-4740-A4D4-6D722BC78D78}" name="Qty" dataDxfId="57"/>
    <tableColumn id="6" xr3:uid="{8D2D417E-0AC7-4FC1-A4E0-3CF5DE4A41A1}" name="MRP Sales" dataDxfId="56"/>
    <tableColumn id="7" xr3:uid="{9667C90F-D3B4-4495-B305-2F260D47680C}" name="Discounts " dataDxfId="55"/>
    <tableColumn id="8" xr3:uid="{0665A47E-7E3A-4A22-86A2-F2808BC3ECE9}" name="Taxes" dataDxfId="54"/>
    <tableColumn id="9" xr3:uid="{C4612A50-0236-467B-ABB9-23C0D741A65D}" name="ASP" dataDxfId="53">
      <calculatedColumnFormula>IFERROR((F2/E2),0)</calculatedColumnFormula>
    </tableColumn>
  </tableColumns>
  <tableStyleInfo name="TableStyleMedium2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BDDD80-2438-4768-8022-F659D16005CD}" name="FK" displayName="FK" ref="A1:I266" totalsRowShown="0" headerRowDxfId="52" dataDxfId="51">
  <autoFilter ref="A1:I266" xr:uid="{F5BDDD80-2438-4768-8022-F659D16005CD}"/>
  <tableColumns count="9">
    <tableColumn id="1" xr3:uid="{01DC4113-D6C1-4372-8E47-A6146CCF506D}" name="Channel" dataDxfId="50"/>
    <tableColumn id="2" xr3:uid="{344C22CE-8B67-441B-8C5A-761B45294D7E}" name="Month" dataDxfId="49"/>
    <tableColumn id="3" xr3:uid="{DC831836-41E6-4155-897A-732FE021B38F}" name="Master Sku" dataDxfId="48"/>
    <tableColumn id="4" xr3:uid="{597B1BB5-D283-4195-B9E6-56CF99A13600}" name="Category" dataDxfId="47"/>
    <tableColumn id="5" xr3:uid="{0D66E34D-F50E-477F-8839-05C3ADA60934}" name="Qty" dataDxfId="46"/>
    <tableColumn id="6" xr3:uid="{48758214-E19C-462F-86F6-300C2A32121B}" name="MRP Sales" dataDxfId="45"/>
    <tableColumn id="7" xr3:uid="{9D37DD26-040A-461A-B070-B0A93445213A}" name="Discounts " dataDxfId="44"/>
    <tableColumn id="8" xr3:uid="{628D0FCD-E089-4A1E-8971-A6CAA946DDA3}" name="Taxes" dataDxfId="43"/>
    <tableColumn id="9" xr3:uid="{4791C706-2C30-46F7-A13C-76EE05C43DC5}" name="ASP" dataDxfId="42">
      <calculatedColumnFormula>IFERROR((F2/E2),0)</calculatedColumnFormula>
    </tableColumn>
  </tableColumns>
  <tableStyleInfo name="TableStyleMedium2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BFC4B8-5229-42B6-A45A-2498E2E615A7}" name="JM" displayName="JM" ref="A1:I73" totalsRowShown="0" headerRowDxfId="41" dataDxfId="40">
  <autoFilter ref="A1:I73" xr:uid="{C5BFC4B8-5229-42B6-A45A-2498E2E615A7}"/>
  <tableColumns count="9">
    <tableColumn id="1" xr3:uid="{C6193D4C-B35D-4567-89B6-797C626F59E1}" name="Channel" dataDxfId="39"/>
    <tableColumn id="2" xr3:uid="{FB4C3382-CC9B-4ACE-A04B-0BD5546066CD}" name="Month" dataDxfId="38"/>
    <tableColumn id="3" xr3:uid="{2F2D8C11-2E3A-447F-818A-106303918328}" name="Master Sku" dataDxfId="37"/>
    <tableColumn id="4" xr3:uid="{59D7D39D-16AF-48AA-8018-81141A7D7341}" name="Category" dataDxfId="36"/>
    <tableColumn id="5" xr3:uid="{BF415068-007B-4288-AD10-CC2E55A52675}" name="Qty" dataDxfId="35"/>
    <tableColumn id="6" xr3:uid="{EB01D36B-A88D-4E26-A918-CE5AE41ADF92}" name="MRP Sales" dataDxfId="34"/>
    <tableColumn id="7" xr3:uid="{4F4ACE8C-4111-4528-8D4A-4D08DFC39C6D}" name="Discounts " dataDxfId="33"/>
    <tableColumn id="8" xr3:uid="{F348D813-6A87-41D7-8419-D7710DF7A5B3}" name="Taxes" dataDxfId="32"/>
    <tableColumn id="9" xr3:uid="{2B24E1D5-FA6F-49AA-A3D4-684A0CFF248E}" name="ASP" dataDxfId="31">
      <calculatedColumnFormula>IFERROR((F2/E2),0)</calculatedColumnFormula>
    </tableColumn>
  </tableColumns>
  <tableStyleInfo name="TableStyleMedium2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C694F3-AFC6-4C6A-BDA5-3AE70245171B}" name="BL" displayName="BL" ref="A1:I77" totalsRowShown="0" headerRowDxfId="30" dataDxfId="29">
  <autoFilter ref="A1:I77" xr:uid="{8AC694F3-AFC6-4C6A-BDA5-3AE70245171B}"/>
  <tableColumns count="9">
    <tableColumn id="1" xr3:uid="{8B29700F-9EC6-4296-BAF8-7DC2FFBB6FDE}" name="Channel" dataDxfId="28"/>
    <tableColumn id="2" xr3:uid="{2BE0CD8B-4B08-4F21-ACCA-C954E2C3C641}" name="Month" dataDxfId="27"/>
    <tableColumn id="3" xr3:uid="{5629F6E5-21DD-4C64-80A9-6E9378A81185}" name="Master Sku" dataDxfId="26"/>
    <tableColumn id="4" xr3:uid="{3FE29DCA-08E3-4591-9331-52F81C887793}" name="Category" dataDxfId="25"/>
    <tableColumn id="5" xr3:uid="{C2B02D75-D2F8-4901-BA1A-356C337B996D}" name="Qty" dataDxfId="24"/>
    <tableColumn id="6" xr3:uid="{36EC97D2-2DB5-488A-A3BD-5B088B3C25C1}" name="MRP Sales" dataDxfId="23"/>
    <tableColumn id="7" xr3:uid="{7EBF5BC4-B386-4702-96B7-FFCFD13BC165}" name="Discounts " dataDxfId="22"/>
    <tableColumn id="8" xr3:uid="{FD2095B0-D085-4F12-81B1-F7649F885ED2}" name="Taxes" dataDxfId="21"/>
    <tableColumn id="9" xr3:uid="{675DE255-9C1A-4012-A89B-2721F024DA0D}" name="ASP" dataDxfId="20">
      <calculatedColumnFormula>IFERROR((F2/E2),0)</calculatedColumnFormula>
    </tableColumn>
  </tableColumns>
  <tableStyleInfo name="TableStyleMedium2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E99D32D-4C9D-46B4-A90B-AFB24345B5D0}" name="BB" displayName="BB" ref="A1:I157" totalsRowShown="0" headerRowDxfId="19" dataDxfId="18">
  <autoFilter ref="A1:I157" xr:uid="{1E99D32D-4C9D-46B4-A90B-AFB24345B5D0}"/>
  <tableColumns count="9">
    <tableColumn id="1" xr3:uid="{921A7C95-F330-4FE7-AB4F-8FFBF6572D01}" name="Channel" dataDxfId="17"/>
    <tableColumn id="2" xr3:uid="{17A85322-6CD3-4CDD-9B3E-A8E9A5B78A60}" name="Month" dataDxfId="16"/>
    <tableColumn id="3" xr3:uid="{91F36261-315D-4E70-B0A2-80F91FF32FF7}" name="Master Sku" dataDxfId="15"/>
    <tableColumn id="4" xr3:uid="{688C72C6-4E30-4C1B-AF2E-FCFEF09EB65B}" name="Category" dataDxfId="14"/>
    <tableColumn id="5" xr3:uid="{AC081904-885E-4833-B27C-6A43EA253678}" name="Qty" dataDxfId="13"/>
    <tableColumn id="6" xr3:uid="{47B9A773-AB35-479A-B723-6B30A13795E1}" name="MRP Sales" dataDxfId="12"/>
    <tableColumn id="7" xr3:uid="{5CC82914-5F90-4DB5-8489-6334746FB3D9}" name="Discounts " dataDxfId="11"/>
    <tableColumn id="8" xr3:uid="{53F79709-D21A-4727-BE2F-7CB26B987A43}" name="Taxes" dataDxfId="10"/>
    <tableColumn id="9" xr3:uid="{543EC84E-352A-474F-9C45-4122BF39AE67}" name="ASP" dataDxfId="9">
      <calculatedColumnFormula>IFERROR((F2/E2),0)</calculatedColumnFormula>
    </tableColumn>
  </tableColumns>
  <tableStyleInfo name="TableStyleMedium2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C5B34B4-0853-47EF-AE50-62C96248CB0A}" name="Unified_Table" displayName="Unified_Table" ref="A1:I912" tableType="queryTable" totalsRowShown="0" headerRowDxfId="8">
  <autoFilter ref="A1:I912" xr:uid="{CC5B34B4-0853-47EF-AE50-62C96248CB0A}"/>
  <tableColumns count="9">
    <tableColumn id="1" xr3:uid="{4021C196-3E3B-4A7D-AEF0-EC0BF8D77E10}" uniqueName="1" name="Channel" queryTableFieldId="1" dataDxfId="7"/>
    <tableColumn id="2" xr3:uid="{85C32BE1-CA76-40C4-847E-1C2FBA2209E6}" uniqueName="2" name="Month" queryTableFieldId="2" dataDxfId="6"/>
    <tableColumn id="3" xr3:uid="{8008AC15-5391-4084-BCFC-39C7366ECEAC}" uniqueName="3" name="Master Sku" queryTableFieldId="3" dataDxfId="5"/>
    <tableColumn id="4" xr3:uid="{7DC6DE5B-9E21-4218-BF72-B3AA3487EFD4}" uniqueName="4" name="Category" queryTableFieldId="4" dataDxfId="4"/>
    <tableColumn id="5" xr3:uid="{58325E7E-0C3C-4355-8DF3-1DC0F587F3F4}" uniqueName="5" name="Qty" queryTableFieldId="5"/>
    <tableColumn id="6" xr3:uid="{00F81487-77E4-40C4-96B0-D292AAE5BF90}" uniqueName="6" name="MRP Sales" queryTableFieldId="6" dataDxfId="3"/>
    <tableColumn id="7" xr3:uid="{E96621CF-F339-40D2-B054-9C843BB84379}" uniqueName="7" name="Discounts " queryTableFieldId="7" dataDxfId="2"/>
    <tableColumn id="8" xr3:uid="{C7C111A9-1565-4B00-ABBF-8D69C1E98AE0}" uniqueName="8" name="Taxes" queryTableFieldId="8" dataDxfId="1"/>
    <tableColumn id="9" xr3:uid="{11A40FDC-CBC2-46FE-B7E5-F8E81745802E}" uniqueName="9" name="ASP"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83F1C-7589-4D87-B186-14DB62D6D840}">
  <dimension ref="A1:N371"/>
  <sheetViews>
    <sheetView workbookViewId="0">
      <selection activeCell="I2" sqref="I2:I371"/>
    </sheetView>
  </sheetViews>
  <sheetFormatPr defaultColWidth="8.88671875" defaultRowHeight="14.4" x14ac:dyDescent="0.3"/>
  <cols>
    <col min="1" max="1" width="10.109375" style="11" bestFit="1" customWidth="1"/>
    <col min="2" max="2" width="8.5546875" style="11" bestFit="1" customWidth="1"/>
    <col min="3" max="3" width="28.6640625" style="12" bestFit="1" customWidth="1"/>
    <col min="4" max="4" width="11.88671875" style="12" bestFit="1" customWidth="1"/>
    <col min="5" max="5" width="7.6640625" style="11" bestFit="1" customWidth="1"/>
    <col min="6" max="6" width="12.33203125" style="11" bestFit="1" customWidth="1"/>
    <col min="7" max="7" width="14.77734375" style="11" bestFit="1" customWidth="1"/>
    <col min="8" max="9" width="12" style="11" bestFit="1" customWidth="1"/>
    <col min="10" max="10" width="3.6640625" style="11" bestFit="1" customWidth="1"/>
    <col min="11" max="13" width="8.88671875" style="11"/>
    <col min="14" max="14" width="11.33203125" style="11" bestFit="1" customWidth="1"/>
    <col min="15" max="16384" width="8.88671875" style="11"/>
  </cols>
  <sheetData>
    <row r="1" spans="1:14" s="5" customFormat="1" x14ac:dyDescent="0.3">
      <c r="A1" s="1" t="s">
        <v>0</v>
      </c>
      <c r="B1" s="2" t="s">
        <v>1</v>
      </c>
      <c r="C1" s="3" t="s">
        <v>2</v>
      </c>
      <c r="D1" s="3" t="s">
        <v>3</v>
      </c>
      <c r="E1" s="3" t="s">
        <v>4</v>
      </c>
      <c r="F1" s="3" t="s">
        <v>5</v>
      </c>
      <c r="G1" s="3" t="s">
        <v>34</v>
      </c>
      <c r="H1" s="4" t="s">
        <v>6</v>
      </c>
      <c r="I1" s="3" t="s">
        <v>33</v>
      </c>
      <c r="J1" s="6" t="s">
        <v>7</v>
      </c>
      <c r="K1" s="6"/>
      <c r="L1" s="7"/>
      <c r="N1" s="8"/>
    </row>
    <row r="2" spans="1:14" x14ac:dyDescent="0.3">
      <c r="A2" s="9" t="s">
        <v>8</v>
      </c>
      <c r="B2" s="9" t="s">
        <v>9</v>
      </c>
      <c r="C2" s="9" t="s">
        <v>10</v>
      </c>
      <c r="D2" s="10" t="s">
        <v>11</v>
      </c>
      <c r="E2" s="11">
        <v>4</v>
      </c>
      <c r="F2" s="11">
        <v>1340</v>
      </c>
      <c r="G2" s="11">
        <v>144</v>
      </c>
      <c r="H2" s="11">
        <v>56.952380952380963</v>
      </c>
      <c r="I2" s="11">
        <f>IFERROR((F2/E2),0)</f>
        <v>335</v>
      </c>
    </row>
    <row r="3" spans="1:14" x14ac:dyDescent="0.3">
      <c r="A3" s="11" t="s">
        <v>8</v>
      </c>
      <c r="B3" s="11" t="s">
        <v>9</v>
      </c>
      <c r="C3" s="11" t="s">
        <v>12</v>
      </c>
      <c r="D3" s="12" t="s">
        <v>11</v>
      </c>
      <c r="E3" s="11">
        <v>8</v>
      </c>
      <c r="F3" s="11">
        <v>4800</v>
      </c>
      <c r="G3" s="11">
        <v>1208</v>
      </c>
      <c r="H3" s="11">
        <v>171.04761904761926</v>
      </c>
      <c r="I3" s="11">
        <f t="shared" ref="I3:I66" si="0">IFERROR((F3/E3),0)</f>
        <v>600</v>
      </c>
    </row>
    <row r="4" spans="1:14" x14ac:dyDescent="0.3">
      <c r="A4" s="9" t="s">
        <v>8</v>
      </c>
      <c r="B4" s="9" t="s">
        <v>9</v>
      </c>
      <c r="C4" s="9" t="s">
        <v>13</v>
      </c>
      <c r="D4" s="10" t="s">
        <v>14</v>
      </c>
      <c r="E4" s="11">
        <v>56</v>
      </c>
      <c r="F4" s="11">
        <v>21000</v>
      </c>
      <c r="G4" s="11">
        <v>8368.7999999999993</v>
      </c>
      <c r="H4" s="11">
        <v>601.48571428571449</v>
      </c>
      <c r="I4" s="11">
        <f t="shared" si="0"/>
        <v>375</v>
      </c>
    </row>
    <row r="5" spans="1:14" x14ac:dyDescent="0.3">
      <c r="A5" s="11" t="s">
        <v>8</v>
      </c>
      <c r="B5" s="11" t="s">
        <v>9</v>
      </c>
      <c r="C5" s="11" t="s">
        <v>15</v>
      </c>
      <c r="D5" s="12" t="s">
        <v>14</v>
      </c>
      <c r="E5" s="11">
        <v>0</v>
      </c>
      <c r="F5" s="11">
        <v>0</v>
      </c>
      <c r="G5" s="11">
        <v>0</v>
      </c>
      <c r="H5" s="11">
        <v>0</v>
      </c>
      <c r="I5" s="11">
        <f t="shared" si="0"/>
        <v>0</v>
      </c>
    </row>
    <row r="6" spans="1:14" x14ac:dyDescent="0.3">
      <c r="A6" s="9" t="s">
        <v>8</v>
      </c>
      <c r="B6" s="9" t="s">
        <v>9</v>
      </c>
      <c r="C6" s="9" t="s">
        <v>16</v>
      </c>
      <c r="D6" s="10" t="s">
        <v>17</v>
      </c>
      <c r="E6" s="11">
        <v>4</v>
      </c>
      <c r="F6" s="11">
        <v>1196</v>
      </c>
      <c r="G6" s="11">
        <v>300</v>
      </c>
      <c r="H6" s="11">
        <v>96.000000000000114</v>
      </c>
      <c r="I6" s="11">
        <f t="shared" si="0"/>
        <v>299</v>
      </c>
    </row>
    <row r="7" spans="1:14" x14ac:dyDescent="0.3">
      <c r="A7" s="11" t="s">
        <v>8</v>
      </c>
      <c r="B7" s="11" t="s">
        <v>9</v>
      </c>
      <c r="C7" s="11" t="s">
        <v>18</v>
      </c>
      <c r="D7" s="12" t="s">
        <v>17</v>
      </c>
      <c r="E7" s="11">
        <v>24</v>
      </c>
      <c r="F7" s="11">
        <v>13800</v>
      </c>
      <c r="G7" s="11">
        <v>3113.7999999999993</v>
      </c>
      <c r="H7" s="11">
        <v>1144.9500000000007</v>
      </c>
      <c r="I7" s="11">
        <f t="shared" si="0"/>
        <v>575</v>
      </c>
    </row>
    <row r="8" spans="1:14" x14ac:dyDescent="0.3">
      <c r="A8" s="9" t="s">
        <v>8</v>
      </c>
      <c r="B8" s="9" t="s">
        <v>9</v>
      </c>
      <c r="C8" s="9" t="s">
        <v>19</v>
      </c>
      <c r="D8" s="10" t="s">
        <v>17</v>
      </c>
      <c r="E8" s="11">
        <v>48</v>
      </c>
      <c r="F8" s="11">
        <v>55200</v>
      </c>
      <c r="G8" s="11">
        <v>18183.599999999999</v>
      </c>
      <c r="H8" s="11">
        <v>3966.0428571428638</v>
      </c>
      <c r="I8" s="11">
        <f t="shared" si="0"/>
        <v>1150</v>
      </c>
    </row>
    <row r="9" spans="1:14" x14ac:dyDescent="0.3">
      <c r="A9" s="11" t="s">
        <v>8</v>
      </c>
      <c r="B9" s="11" t="s">
        <v>9</v>
      </c>
      <c r="C9" s="11" t="s">
        <v>20</v>
      </c>
      <c r="D9" s="12" t="s">
        <v>14</v>
      </c>
      <c r="E9" s="11">
        <v>4</v>
      </c>
      <c r="F9" s="11">
        <v>3000</v>
      </c>
      <c r="G9" s="11">
        <v>3000</v>
      </c>
      <c r="H9" s="11">
        <v>0</v>
      </c>
      <c r="I9" s="11">
        <f t="shared" si="0"/>
        <v>750</v>
      </c>
    </row>
    <row r="10" spans="1:14" x14ac:dyDescent="0.3">
      <c r="A10" s="9" t="s">
        <v>8</v>
      </c>
      <c r="B10" s="9" t="s">
        <v>9</v>
      </c>
      <c r="C10" s="9" t="s">
        <v>21</v>
      </c>
      <c r="D10" s="10" t="s">
        <v>11</v>
      </c>
      <c r="E10" s="11">
        <v>100</v>
      </c>
      <c r="F10" s="11">
        <v>120000</v>
      </c>
      <c r="G10" s="11">
        <v>42061.8</v>
      </c>
      <c r="H10" s="11">
        <v>3711.3428571428667</v>
      </c>
      <c r="I10" s="11">
        <f t="shared" si="0"/>
        <v>1200</v>
      </c>
    </row>
    <row r="11" spans="1:14" x14ac:dyDescent="0.3">
      <c r="A11" s="11" t="s">
        <v>8</v>
      </c>
      <c r="B11" s="11" t="s">
        <v>9</v>
      </c>
      <c r="C11" s="11" t="s">
        <v>22</v>
      </c>
      <c r="D11" s="12" t="s">
        <v>23</v>
      </c>
      <c r="E11" s="11">
        <v>12</v>
      </c>
      <c r="F11" s="11">
        <v>2388</v>
      </c>
      <c r="G11" s="11">
        <v>1200</v>
      </c>
      <c r="H11" s="11">
        <v>56.571428571428669</v>
      </c>
      <c r="I11" s="11">
        <f t="shared" si="0"/>
        <v>199</v>
      </c>
    </row>
    <row r="12" spans="1:14" x14ac:dyDescent="0.3">
      <c r="A12" s="9" t="s">
        <v>8</v>
      </c>
      <c r="B12" s="9" t="s">
        <v>9</v>
      </c>
      <c r="C12" s="9" t="s">
        <v>24</v>
      </c>
      <c r="D12" s="10" t="s">
        <v>23</v>
      </c>
      <c r="E12" s="11">
        <v>104</v>
      </c>
      <c r="F12" s="11">
        <v>46800</v>
      </c>
      <c r="G12" s="11">
        <v>21665.599999999999</v>
      </c>
      <c r="H12" s="11">
        <v>1196.8761904761923</v>
      </c>
      <c r="I12" s="11">
        <f t="shared" si="0"/>
        <v>450</v>
      </c>
    </row>
    <row r="13" spans="1:14" x14ac:dyDescent="0.3">
      <c r="A13" s="11" t="s">
        <v>8</v>
      </c>
      <c r="B13" s="11" t="s">
        <v>9</v>
      </c>
      <c r="C13" s="11" t="s">
        <v>25</v>
      </c>
      <c r="D13" s="12" t="s">
        <v>23</v>
      </c>
      <c r="E13" s="11">
        <v>4</v>
      </c>
      <c r="F13" s="11">
        <v>3600</v>
      </c>
      <c r="G13" s="11">
        <v>1804</v>
      </c>
      <c r="H13" s="11">
        <v>273.9661016949151</v>
      </c>
      <c r="I13" s="11">
        <f t="shared" si="0"/>
        <v>900</v>
      </c>
    </row>
    <row r="14" spans="1:14" x14ac:dyDescent="0.3">
      <c r="A14" s="9" t="s">
        <v>8</v>
      </c>
      <c r="B14" s="9" t="s">
        <v>9</v>
      </c>
      <c r="C14" s="9" t="s">
        <v>10</v>
      </c>
      <c r="D14" s="10" t="s">
        <v>11</v>
      </c>
      <c r="E14" s="11">
        <v>16</v>
      </c>
      <c r="F14" s="11">
        <v>5360</v>
      </c>
      <c r="G14" s="11">
        <v>576</v>
      </c>
      <c r="H14" s="11">
        <v>227.80952380952385</v>
      </c>
      <c r="I14" s="11">
        <f t="shared" si="0"/>
        <v>335</v>
      </c>
    </row>
    <row r="15" spans="1:14" x14ac:dyDescent="0.3">
      <c r="A15" s="11" t="s">
        <v>8</v>
      </c>
      <c r="B15" s="11" t="s">
        <v>9</v>
      </c>
      <c r="C15" s="11" t="s">
        <v>12</v>
      </c>
      <c r="D15" s="12" t="s">
        <v>11</v>
      </c>
      <c r="E15" s="11">
        <v>12</v>
      </c>
      <c r="F15" s="11">
        <v>7200</v>
      </c>
      <c r="G15" s="11">
        <v>1812</v>
      </c>
      <c r="H15" s="11">
        <v>256.57142857142844</v>
      </c>
      <c r="I15" s="11">
        <f t="shared" si="0"/>
        <v>600</v>
      </c>
    </row>
    <row r="16" spans="1:14" x14ac:dyDescent="0.3">
      <c r="A16" s="9" t="s">
        <v>8</v>
      </c>
      <c r="B16" s="9" t="s">
        <v>9</v>
      </c>
      <c r="C16" s="9" t="s">
        <v>13</v>
      </c>
      <c r="D16" s="10" t="s">
        <v>14</v>
      </c>
      <c r="E16" s="11">
        <v>32</v>
      </c>
      <c r="F16" s="11">
        <v>12000</v>
      </c>
      <c r="G16" s="11">
        <v>4749.6000000000004</v>
      </c>
      <c r="H16" s="11">
        <v>345.25714285714275</v>
      </c>
      <c r="I16" s="11">
        <f t="shared" si="0"/>
        <v>375</v>
      </c>
    </row>
    <row r="17" spans="1:9" x14ac:dyDescent="0.3">
      <c r="A17" s="11" t="s">
        <v>8</v>
      </c>
      <c r="B17" s="11" t="s">
        <v>9</v>
      </c>
      <c r="C17" s="11" t="s">
        <v>15</v>
      </c>
      <c r="D17" s="12" t="s">
        <v>14</v>
      </c>
      <c r="E17" s="11">
        <v>4</v>
      </c>
      <c r="F17" s="11">
        <v>660</v>
      </c>
      <c r="G17" s="11">
        <v>304</v>
      </c>
      <c r="H17" s="11">
        <v>16.952380952380963</v>
      </c>
      <c r="I17" s="11">
        <f t="shared" si="0"/>
        <v>165</v>
      </c>
    </row>
    <row r="18" spans="1:9" x14ac:dyDescent="0.3">
      <c r="A18" s="9" t="s">
        <v>8</v>
      </c>
      <c r="B18" s="9" t="s">
        <v>9</v>
      </c>
      <c r="C18" s="9" t="s">
        <v>16</v>
      </c>
      <c r="D18" s="10" t="s">
        <v>17</v>
      </c>
      <c r="E18" s="11">
        <v>0</v>
      </c>
      <c r="F18" s="11">
        <v>0</v>
      </c>
      <c r="G18" s="11">
        <v>0</v>
      </c>
      <c r="H18" s="11">
        <v>0</v>
      </c>
      <c r="I18" s="11">
        <f t="shared" si="0"/>
        <v>0</v>
      </c>
    </row>
    <row r="19" spans="1:9" x14ac:dyDescent="0.3">
      <c r="A19" s="11" t="s">
        <v>8</v>
      </c>
      <c r="B19" s="11" t="s">
        <v>9</v>
      </c>
      <c r="C19" s="11" t="s">
        <v>18</v>
      </c>
      <c r="D19" s="12" t="s">
        <v>17</v>
      </c>
      <c r="E19" s="11">
        <v>24</v>
      </c>
      <c r="F19" s="11">
        <v>13800</v>
      </c>
      <c r="G19" s="11">
        <v>3024</v>
      </c>
      <c r="H19" s="11">
        <v>1154.5714285714294</v>
      </c>
      <c r="I19" s="11">
        <f t="shared" si="0"/>
        <v>575</v>
      </c>
    </row>
    <row r="20" spans="1:9" x14ac:dyDescent="0.3">
      <c r="A20" s="9" t="s">
        <v>8</v>
      </c>
      <c r="B20" s="9" t="s">
        <v>9</v>
      </c>
      <c r="C20" s="9" t="s">
        <v>19</v>
      </c>
      <c r="D20" s="10" t="s">
        <v>17</v>
      </c>
      <c r="E20" s="11">
        <v>32</v>
      </c>
      <c r="F20" s="11">
        <v>36800</v>
      </c>
      <c r="G20" s="11">
        <v>9968</v>
      </c>
      <c r="H20" s="11">
        <v>2874.8571428571449</v>
      </c>
      <c r="I20" s="11">
        <f t="shared" si="0"/>
        <v>1150</v>
      </c>
    </row>
    <row r="21" spans="1:9" x14ac:dyDescent="0.3">
      <c r="A21" s="11" t="s">
        <v>8</v>
      </c>
      <c r="B21" s="11" t="s">
        <v>9</v>
      </c>
      <c r="C21" s="11" t="s">
        <v>20</v>
      </c>
      <c r="D21" s="12" t="s">
        <v>14</v>
      </c>
      <c r="E21" s="11">
        <v>0</v>
      </c>
      <c r="F21" s="11">
        <v>0</v>
      </c>
      <c r="G21" s="11">
        <v>0</v>
      </c>
      <c r="H21" s="11">
        <v>0</v>
      </c>
      <c r="I21" s="11">
        <f t="shared" si="0"/>
        <v>0</v>
      </c>
    </row>
    <row r="22" spans="1:9" x14ac:dyDescent="0.3">
      <c r="A22" s="9" t="s">
        <v>8</v>
      </c>
      <c r="B22" s="9" t="s">
        <v>9</v>
      </c>
      <c r="C22" s="9" t="s">
        <v>21</v>
      </c>
      <c r="D22" s="10" t="s">
        <v>11</v>
      </c>
      <c r="E22" s="11">
        <v>84</v>
      </c>
      <c r="F22" s="11">
        <v>100800</v>
      </c>
      <c r="G22" s="11">
        <v>33049.800000000003</v>
      </c>
      <c r="H22" s="11">
        <v>3226.2000000000044</v>
      </c>
      <c r="I22" s="11">
        <f t="shared" si="0"/>
        <v>1200</v>
      </c>
    </row>
    <row r="23" spans="1:9" x14ac:dyDescent="0.3">
      <c r="A23" s="11" t="s">
        <v>8</v>
      </c>
      <c r="B23" s="11" t="s">
        <v>9</v>
      </c>
      <c r="C23" s="11" t="s">
        <v>22</v>
      </c>
      <c r="D23" s="12" t="s">
        <v>23</v>
      </c>
      <c r="E23" s="11">
        <v>16</v>
      </c>
      <c r="F23" s="11">
        <v>3184</v>
      </c>
      <c r="G23" s="11">
        <v>1600</v>
      </c>
      <c r="H23" s="11">
        <v>75.428571428571558</v>
      </c>
      <c r="I23" s="11">
        <f t="shared" si="0"/>
        <v>199</v>
      </c>
    </row>
    <row r="24" spans="1:9" x14ac:dyDescent="0.3">
      <c r="A24" s="9" t="s">
        <v>8</v>
      </c>
      <c r="B24" s="9" t="s">
        <v>9</v>
      </c>
      <c r="C24" s="9" t="s">
        <v>24</v>
      </c>
      <c r="D24" s="10" t="s">
        <v>23</v>
      </c>
      <c r="E24" s="11">
        <v>112</v>
      </c>
      <c r="F24" s="11">
        <v>50400</v>
      </c>
      <c r="G24" s="11">
        <v>25760</v>
      </c>
      <c r="H24" s="11">
        <v>1173.3333333333358</v>
      </c>
      <c r="I24" s="11">
        <f t="shared" si="0"/>
        <v>450</v>
      </c>
    </row>
    <row r="25" spans="1:9" x14ac:dyDescent="0.3">
      <c r="A25" s="11" t="s">
        <v>8</v>
      </c>
      <c r="B25" s="11" t="s">
        <v>9</v>
      </c>
      <c r="C25" s="11" t="s">
        <v>26</v>
      </c>
      <c r="D25" s="12" t="s">
        <v>27</v>
      </c>
      <c r="E25" s="11">
        <v>4</v>
      </c>
      <c r="F25" s="11">
        <v>9400</v>
      </c>
      <c r="G25" s="11">
        <v>2600</v>
      </c>
      <c r="H25" s="11">
        <v>728.57142857142935</v>
      </c>
      <c r="I25" s="11">
        <f t="shared" si="0"/>
        <v>2350</v>
      </c>
    </row>
    <row r="26" spans="1:9" x14ac:dyDescent="0.3">
      <c r="A26" s="9" t="s">
        <v>8</v>
      </c>
      <c r="B26" s="9" t="s">
        <v>9</v>
      </c>
      <c r="C26" s="9" t="s">
        <v>10</v>
      </c>
      <c r="D26" s="10" t="s">
        <v>11</v>
      </c>
      <c r="E26" s="11">
        <v>0</v>
      </c>
      <c r="F26" s="11">
        <v>0</v>
      </c>
      <c r="G26" s="11">
        <v>0</v>
      </c>
      <c r="H26" s="11">
        <v>0</v>
      </c>
      <c r="I26" s="11">
        <f t="shared" si="0"/>
        <v>0</v>
      </c>
    </row>
    <row r="27" spans="1:9" x14ac:dyDescent="0.3">
      <c r="A27" s="11" t="s">
        <v>8</v>
      </c>
      <c r="B27" s="11" t="s">
        <v>9</v>
      </c>
      <c r="C27" s="11" t="s">
        <v>12</v>
      </c>
      <c r="D27" s="12" t="s">
        <v>11</v>
      </c>
      <c r="E27" s="11">
        <v>4</v>
      </c>
      <c r="F27" s="11">
        <v>2400</v>
      </c>
      <c r="G27" s="11">
        <v>604</v>
      </c>
      <c r="H27" s="11">
        <v>85.523809523809632</v>
      </c>
      <c r="I27" s="11">
        <f t="shared" si="0"/>
        <v>600</v>
      </c>
    </row>
    <row r="28" spans="1:9" x14ac:dyDescent="0.3">
      <c r="A28" s="9" t="s">
        <v>8</v>
      </c>
      <c r="B28" s="9" t="s">
        <v>9</v>
      </c>
      <c r="C28" s="9" t="s">
        <v>13</v>
      </c>
      <c r="D28" s="10" t="s">
        <v>14</v>
      </c>
      <c r="E28" s="11">
        <v>32</v>
      </c>
      <c r="F28" s="11">
        <v>12000</v>
      </c>
      <c r="G28" s="11">
        <v>7788</v>
      </c>
      <c r="H28" s="11">
        <v>200.5714285714289</v>
      </c>
      <c r="I28" s="11">
        <f t="shared" si="0"/>
        <v>375</v>
      </c>
    </row>
    <row r="29" spans="1:9" x14ac:dyDescent="0.3">
      <c r="A29" s="11" t="s">
        <v>8</v>
      </c>
      <c r="B29" s="11" t="s">
        <v>9</v>
      </c>
      <c r="C29" s="11" t="s">
        <v>15</v>
      </c>
      <c r="D29" s="12" t="s">
        <v>14</v>
      </c>
      <c r="E29" s="11">
        <v>4</v>
      </c>
      <c r="F29" s="11">
        <v>660</v>
      </c>
      <c r="G29" s="11">
        <v>304</v>
      </c>
      <c r="H29" s="11">
        <v>16.952380952380963</v>
      </c>
      <c r="I29" s="11">
        <f t="shared" si="0"/>
        <v>165</v>
      </c>
    </row>
    <row r="30" spans="1:9" x14ac:dyDescent="0.3">
      <c r="A30" s="9" t="s">
        <v>8</v>
      </c>
      <c r="B30" s="9" t="s">
        <v>9</v>
      </c>
      <c r="C30" s="9" t="s">
        <v>16</v>
      </c>
      <c r="D30" s="10" t="s">
        <v>17</v>
      </c>
      <c r="E30" s="11">
        <v>4</v>
      </c>
      <c r="F30" s="11">
        <v>1196</v>
      </c>
      <c r="G30" s="11">
        <v>300</v>
      </c>
      <c r="H30" s="11">
        <v>96.000000000000114</v>
      </c>
      <c r="I30" s="11">
        <f t="shared" si="0"/>
        <v>299</v>
      </c>
    </row>
    <row r="31" spans="1:9" x14ac:dyDescent="0.3">
      <c r="A31" s="11" t="s">
        <v>8</v>
      </c>
      <c r="B31" s="11" t="s">
        <v>9</v>
      </c>
      <c r="C31" s="11" t="s">
        <v>18</v>
      </c>
      <c r="D31" s="12" t="s">
        <v>17</v>
      </c>
      <c r="E31" s="11">
        <v>20</v>
      </c>
      <c r="F31" s="11">
        <v>11500</v>
      </c>
      <c r="G31" s="11">
        <v>2609.7999999999993</v>
      </c>
      <c r="H31" s="11">
        <v>952.52142857142917</v>
      </c>
      <c r="I31" s="11">
        <f t="shared" si="0"/>
        <v>575</v>
      </c>
    </row>
    <row r="32" spans="1:9" x14ac:dyDescent="0.3">
      <c r="A32" s="9" t="s">
        <v>8</v>
      </c>
      <c r="B32" s="9" t="s">
        <v>9</v>
      </c>
      <c r="C32" s="9" t="s">
        <v>19</v>
      </c>
      <c r="D32" s="10" t="s">
        <v>17</v>
      </c>
      <c r="E32" s="11">
        <v>84</v>
      </c>
      <c r="F32" s="11">
        <v>96600</v>
      </c>
      <c r="G32" s="11">
        <v>31278.800000000003</v>
      </c>
      <c r="H32" s="11">
        <v>6998.7000000000044</v>
      </c>
      <c r="I32" s="11">
        <f t="shared" si="0"/>
        <v>1150</v>
      </c>
    </row>
    <row r="33" spans="1:9" x14ac:dyDescent="0.3">
      <c r="A33" s="11" t="s">
        <v>8</v>
      </c>
      <c r="B33" s="11" t="s">
        <v>9</v>
      </c>
      <c r="C33" s="11" t="s">
        <v>20</v>
      </c>
      <c r="D33" s="12" t="s">
        <v>14</v>
      </c>
      <c r="E33" s="11">
        <v>0</v>
      </c>
      <c r="F33" s="11">
        <v>0</v>
      </c>
      <c r="G33" s="11">
        <v>0</v>
      </c>
      <c r="H33" s="11">
        <v>0</v>
      </c>
      <c r="I33" s="11">
        <f t="shared" si="0"/>
        <v>0</v>
      </c>
    </row>
    <row r="34" spans="1:9" x14ac:dyDescent="0.3">
      <c r="A34" s="9" t="s">
        <v>8</v>
      </c>
      <c r="B34" s="9" t="s">
        <v>9</v>
      </c>
      <c r="C34" s="9" t="s">
        <v>21</v>
      </c>
      <c r="D34" s="10" t="s">
        <v>11</v>
      </c>
      <c r="E34" s="11">
        <v>68</v>
      </c>
      <c r="F34" s="11">
        <v>81600</v>
      </c>
      <c r="G34" s="11">
        <v>24377.4</v>
      </c>
      <c r="H34" s="11">
        <v>2724.8857142857159</v>
      </c>
      <c r="I34" s="11">
        <f t="shared" si="0"/>
        <v>1200</v>
      </c>
    </row>
    <row r="35" spans="1:9" x14ac:dyDescent="0.3">
      <c r="A35" s="11" t="s">
        <v>8</v>
      </c>
      <c r="B35" s="11" t="s">
        <v>9</v>
      </c>
      <c r="C35" s="11" t="s">
        <v>22</v>
      </c>
      <c r="D35" s="12" t="s">
        <v>23</v>
      </c>
      <c r="E35" s="11">
        <v>4</v>
      </c>
      <c r="F35" s="11">
        <v>796</v>
      </c>
      <c r="G35" s="11">
        <v>400</v>
      </c>
      <c r="H35" s="11">
        <v>18.85714285714289</v>
      </c>
      <c r="I35" s="11">
        <f t="shared" si="0"/>
        <v>199</v>
      </c>
    </row>
    <row r="36" spans="1:9" x14ac:dyDescent="0.3">
      <c r="A36" s="9" t="s">
        <v>8</v>
      </c>
      <c r="B36" s="9" t="s">
        <v>9</v>
      </c>
      <c r="C36" s="9" t="s">
        <v>24</v>
      </c>
      <c r="D36" s="10" t="s">
        <v>23</v>
      </c>
      <c r="E36" s="11">
        <v>112</v>
      </c>
      <c r="F36" s="11">
        <v>50400</v>
      </c>
      <c r="G36" s="11">
        <v>25848</v>
      </c>
      <c r="H36" s="11">
        <v>1169.1428571428587</v>
      </c>
      <c r="I36" s="11">
        <f t="shared" si="0"/>
        <v>450</v>
      </c>
    </row>
    <row r="37" spans="1:9" x14ac:dyDescent="0.3">
      <c r="A37" s="11" t="s">
        <v>8</v>
      </c>
      <c r="B37" s="11" t="s">
        <v>9</v>
      </c>
      <c r="C37" s="11" t="s">
        <v>25</v>
      </c>
      <c r="D37" s="12" t="s">
        <v>23</v>
      </c>
      <c r="E37" s="11">
        <v>4</v>
      </c>
      <c r="F37" s="11">
        <v>3600</v>
      </c>
      <c r="G37" s="11">
        <v>1604</v>
      </c>
      <c r="H37" s="11">
        <v>304.47457627118638</v>
      </c>
      <c r="I37" s="11">
        <f t="shared" si="0"/>
        <v>900</v>
      </c>
    </row>
    <row r="38" spans="1:9" x14ac:dyDescent="0.3">
      <c r="A38" s="9" t="s">
        <v>8</v>
      </c>
      <c r="B38" s="9" t="s">
        <v>9</v>
      </c>
      <c r="C38" s="9" t="s">
        <v>10</v>
      </c>
      <c r="D38" s="10" t="s">
        <v>11</v>
      </c>
      <c r="E38" s="11">
        <v>0</v>
      </c>
      <c r="F38" s="11">
        <v>0</v>
      </c>
      <c r="G38" s="11">
        <v>0</v>
      </c>
      <c r="H38" s="11">
        <v>0</v>
      </c>
      <c r="I38" s="11">
        <f t="shared" si="0"/>
        <v>0</v>
      </c>
    </row>
    <row r="39" spans="1:9" x14ac:dyDescent="0.3">
      <c r="A39" s="11" t="s">
        <v>8</v>
      </c>
      <c r="B39" s="11" t="s">
        <v>9</v>
      </c>
      <c r="C39" s="11" t="s">
        <v>12</v>
      </c>
      <c r="D39" s="12" t="s">
        <v>11</v>
      </c>
      <c r="E39" s="11">
        <v>8</v>
      </c>
      <c r="F39" s="11">
        <v>4800</v>
      </c>
      <c r="G39" s="11">
        <v>1208</v>
      </c>
      <c r="H39" s="11">
        <v>171.04761904761926</v>
      </c>
      <c r="I39" s="11">
        <f t="shared" si="0"/>
        <v>600</v>
      </c>
    </row>
    <row r="40" spans="1:9" x14ac:dyDescent="0.3">
      <c r="A40" s="9" t="s">
        <v>8</v>
      </c>
      <c r="B40" s="9" t="s">
        <v>9</v>
      </c>
      <c r="C40" s="9" t="s">
        <v>13</v>
      </c>
      <c r="D40" s="10" t="s">
        <v>14</v>
      </c>
      <c r="E40" s="11">
        <v>40</v>
      </c>
      <c r="F40" s="11">
        <v>15000</v>
      </c>
      <c r="G40" s="11">
        <v>7836</v>
      </c>
      <c r="H40" s="11">
        <v>341.14285714285779</v>
      </c>
      <c r="I40" s="11">
        <f t="shared" si="0"/>
        <v>375</v>
      </c>
    </row>
    <row r="41" spans="1:9" x14ac:dyDescent="0.3">
      <c r="A41" s="11" t="s">
        <v>8</v>
      </c>
      <c r="B41" s="11" t="s">
        <v>9</v>
      </c>
      <c r="C41" s="11" t="s">
        <v>15</v>
      </c>
      <c r="D41" s="12" t="s">
        <v>14</v>
      </c>
      <c r="E41" s="11">
        <v>4</v>
      </c>
      <c r="F41" s="11">
        <v>660</v>
      </c>
      <c r="G41" s="11">
        <v>304</v>
      </c>
      <c r="H41" s="11">
        <v>16.952380952380963</v>
      </c>
      <c r="I41" s="11">
        <f t="shared" si="0"/>
        <v>165</v>
      </c>
    </row>
    <row r="42" spans="1:9" x14ac:dyDescent="0.3">
      <c r="A42" s="9" t="s">
        <v>8</v>
      </c>
      <c r="B42" s="9" t="s">
        <v>9</v>
      </c>
      <c r="C42" s="9" t="s">
        <v>16</v>
      </c>
      <c r="D42" s="10" t="s">
        <v>17</v>
      </c>
      <c r="E42" s="11">
        <v>4</v>
      </c>
      <c r="F42" s="11">
        <v>1196</v>
      </c>
      <c r="G42" s="11">
        <v>300</v>
      </c>
      <c r="H42" s="11">
        <v>96.000000000000114</v>
      </c>
      <c r="I42" s="11">
        <f t="shared" si="0"/>
        <v>299</v>
      </c>
    </row>
    <row r="43" spans="1:9" x14ac:dyDescent="0.3">
      <c r="A43" s="11" t="s">
        <v>8</v>
      </c>
      <c r="B43" s="11" t="s">
        <v>9</v>
      </c>
      <c r="C43" s="11" t="s">
        <v>18</v>
      </c>
      <c r="D43" s="12" t="s">
        <v>17</v>
      </c>
      <c r="E43" s="11">
        <v>20</v>
      </c>
      <c r="F43" s="11">
        <v>11500</v>
      </c>
      <c r="G43" s="11">
        <v>2520</v>
      </c>
      <c r="H43" s="11">
        <v>962.14285714285779</v>
      </c>
      <c r="I43" s="11">
        <f t="shared" si="0"/>
        <v>575</v>
      </c>
    </row>
    <row r="44" spans="1:9" x14ac:dyDescent="0.3">
      <c r="A44" s="9" t="s">
        <v>8</v>
      </c>
      <c r="B44" s="9" t="s">
        <v>9</v>
      </c>
      <c r="C44" s="9" t="s">
        <v>19</v>
      </c>
      <c r="D44" s="10" t="s">
        <v>17</v>
      </c>
      <c r="E44" s="11">
        <v>100</v>
      </c>
      <c r="F44" s="11">
        <v>115000</v>
      </c>
      <c r="G44" s="11">
        <v>38455.800000000003</v>
      </c>
      <c r="H44" s="11">
        <v>8201.164285714287</v>
      </c>
      <c r="I44" s="11">
        <f t="shared" si="0"/>
        <v>1150</v>
      </c>
    </row>
    <row r="45" spans="1:9" x14ac:dyDescent="0.3">
      <c r="A45" s="11" t="s">
        <v>8</v>
      </c>
      <c r="B45" s="11" t="s">
        <v>9</v>
      </c>
      <c r="C45" s="11" t="s">
        <v>20</v>
      </c>
      <c r="D45" s="12" t="s">
        <v>14</v>
      </c>
      <c r="E45" s="11">
        <v>0</v>
      </c>
      <c r="F45" s="11">
        <v>0</v>
      </c>
      <c r="G45" s="11">
        <v>0</v>
      </c>
      <c r="H45" s="11">
        <v>0</v>
      </c>
      <c r="I45" s="11">
        <f t="shared" si="0"/>
        <v>0</v>
      </c>
    </row>
    <row r="46" spans="1:9" x14ac:dyDescent="0.3">
      <c r="A46" s="9" t="s">
        <v>8</v>
      </c>
      <c r="B46" s="9" t="s">
        <v>9</v>
      </c>
      <c r="C46" s="9" t="s">
        <v>21</v>
      </c>
      <c r="D46" s="10" t="s">
        <v>11</v>
      </c>
      <c r="E46" s="11">
        <v>56</v>
      </c>
      <c r="F46" s="11">
        <v>67200</v>
      </c>
      <c r="G46" s="11">
        <v>23391.599999999999</v>
      </c>
      <c r="H46" s="11">
        <v>2086.1142857142841</v>
      </c>
      <c r="I46" s="11">
        <f t="shared" si="0"/>
        <v>1200</v>
      </c>
    </row>
    <row r="47" spans="1:9" x14ac:dyDescent="0.3">
      <c r="A47" s="11" t="s">
        <v>8</v>
      </c>
      <c r="B47" s="11" t="s">
        <v>9</v>
      </c>
      <c r="C47" s="11" t="s">
        <v>22</v>
      </c>
      <c r="D47" s="12" t="s">
        <v>23</v>
      </c>
      <c r="E47" s="11">
        <v>8</v>
      </c>
      <c r="F47" s="11">
        <v>1592</v>
      </c>
      <c r="G47" s="11">
        <v>800</v>
      </c>
      <c r="H47" s="11">
        <v>37.714285714285779</v>
      </c>
      <c r="I47" s="11">
        <f t="shared" si="0"/>
        <v>199</v>
      </c>
    </row>
    <row r="48" spans="1:9" x14ac:dyDescent="0.3">
      <c r="A48" s="9" t="s">
        <v>8</v>
      </c>
      <c r="B48" s="9" t="s">
        <v>9</v>
      </c>
      <c r="C48" s="9" t="s">
        <v>24</v>
      </c>
      <c r="D48" s="10" t="s">
        <v>23</v>
      </c>
      <c r="E48" s="11">
        <v>136</v>
      </c>
      <c r="F48" s="11">
        <v>61200</v>
      </c>
      <c r="G48" s="11">
        <v>31412</v>
      </c>
      <c r="H48" s="11">
        <v>1418.4761904761908</v>
      </c>
      <c r="I48" s="11">
        <f t="shared" si="0"/>
        <v>450</v>
      </c>
    </row>
    <row r="49" spans="1:9" x14ac:dyDescent="0.3">
      <c r="A49" s="11" t="s">
        <v>8</v>
      </c>
      <c r="B49" s="11" t="s">
        <v>9</v>
      </c>
      <c r="C49" s="11" t="s">
        <v>25</v>
      </c>
      <c r="D49" s="12" t="s">
        <v>23</v>
      </c>
      <c r="E49" s="11">
        <v>4</v>
      </c>
      <c r="F49" s="11">
        <v>3600</v>
      </c>
      <c r="G49" s="11">
        <v>1604</v>
      </c>
      <c r="H49" s="11">
        <v>304.47457627118638</v>
      </c>
      <c r="I49" s="11">
        <f t="shared" si="0"/>
        <v>900</v>
      </c>
    </row>
    <row r="50" spans="1:9" x14ac:dyDescent="0.3">
      <c r="A50" s="9" t="s">
        <v>8</v>
      </c>
      <c r="B50" s="9" t="s">
        <v>9</v>
      </c>
      <c r="C50" s="9" t="s">
        <v>12</v>
      </c>
      <c r="D50" s="10" t="s">
        <v>11</v>
      </c>
      <c r="E50" s="11">
        <v>12</v>
      </c>
      <c r="F50" s="11">
        <v>7200</v>
      </c>
      <c r="G50" s="11">
        <v>1812</v>
      </c>
      <c r="H50" s="11">
        <v>256.57142857142844</v>
      </c>
      <c r="I50" s="11">
        <f t="shared" si="0"/>
        <v>600</v>
      </c>
    </row>
    <row r="51" spans="1:9" x14ac:dyDescent="0.3">
      <c r="A51" s="11" t="s">
        <v>8</v>
      </c>
      <c r="B51" s="11" t="s">
        <v>9</v>
      </c>
      <c r="C51" s="11" t="s">
        <v>13</v>
      </c>
      <c r="D51" s="12" t="s">
        <v>14</v>
      </c>
      <c r="E51" s="11">
        <v>48</v>
      </c>
      <c r="F51" s="11">
        <v>18000</v>
      </c>
      <c r="G51" s="11">
        <v>10199.200000000001</v>
      </c>
      <c r="H51" s="11">
        <v>371.46666666666715</v>
      </c>
      <c r="I51" s="11">
        <f t="shared" si="0"/>
        <v>375</v>
      </c>
    </row>
    <row r="52" spans="1:9" x14ac:dyDescent="0.3">
      <c r="A52" s="9" t="s">
        <v>8</v>
      </c>
      <c r="B52" s="9" t="s">
        <v>9</v>
      </c>
      <c r="C52" s="9" t="s">
        <v>18</v>
      </c>
      <c r="D52" s="10" t="s">
        <v>17</v>
      </c>
      <c r="E52" s="11">
        <v>4</v>
      </c>
      <c r="F52" s="11">
        <v>2300</v>
      </c>
      <c r="G52" s="11">
        <v>504</v>
      </c>
      <c r="H52" s="11">
        <v>192.42857142857156</v>
      </c>
      <c r="I52" s="11">
        <f t="shared" si="0"/>
        <v>575</v>
      </c>
    </row>
    <row r="53" spans="1:9" x14ac:dyDescent="0.3">
      <c r="A53" s="11" t="s">
        <v>8</v>
      </c>
      <c r="B53" s="11" t="s">
        <v>9</v>
      </c>
      <c r="C53" s="11" t="s">
        <v>19</v>
      </c>
      <c r="D53" s="12" t="s">
        <v>17</v>
      </c>
      <c r="E53" s="11">
        <v>56</v>
      </c>
      <c r="F53" s="11">
        <v>64400</v>
      </c>
      <c r="G53" s="11">
        <v>19656</v>
      </c>
      <c r="H53" s="11">
        <v>4794.0000000000073</v>
      </c>
      <c r="I53" s="11">
        <f t="shared" si="0"/>
        <v>1150</v>
      </c>
    </row>
    <row r="54" spans="1:9" x14ac:dyDescent="0.3">
      <c r="A54" s="9" t="s">
        <v>8</v>
      </c>
      <c r="B54" s="9" t="s">
        <v>9</v>
      </c>
      <c r="C54" s="9" t="s">
        <v>20</v>
      </c>
      <c r="D54" s="10" t="s">
        <v>14</v>
      </c>
      <c r="E54" s="11">
        <v>8</v>
      </c>
      <c r="F54" s="11">
        <v>6000</v>
      </c>
      <c r="G54" s="11">
        <v>2808</v>
      </c>
      <c r="H54" s="11">
        <v>152</v>
      </c>
      <c r="I54" s="11">
        <f t="shared" si="0"/>
        <v>750</v>
      </c>
    </row>
    <row r="55" spans="1:9" x14ac:dyDescent="0.3">
      <c r="A55" s="11" t="s">
        <v>8</v>
      </c>
      <c r="B55" s="11" t="s">
        <v>9</v>
      </c>
      <c r="C55" s="11" t="s">
        <v>21</v>
      </c>
      <c r="D55" s="12" t="s">
        <v>11</v>
      </c>
      <c r="E55" s="11">
        <v>76</v>
      </c>
      <c r="F55" s="11">
        <v>91200</v>
      </c>
      <c r="G55" s="11">
        <v>27015.599999999999</v>
      </c>
      <c r="H55" s="11">
        <v>3056.4000000000015</v>
      </c>
      <c r="I55" s="11">
        <f t="shared" si="0"/>
        <v>1200</v>
      </c>
    </row>
    <row r="56" spans="1:9" x14ac:dyDescent="0.3">
      <c r="A56" s="9" t="s">
        <v>8</v>
      </c>
      <c r="B56" s="9" t="s">
        <v>9</v>
      </c>
      <c r="C56" s="9" t="s">
        <v>24</v>
      </c>
      <c r="D56" s="10" t="s">
        <v>23</v>
      </c>
      <c r="E56" s="11">
        <v>116</v>
      </c>
      <c r="F56" s="11">
        <v>52200</v>
      </c>
      <c r="G56" s="11">
        <v>26680</v>
      </c>
      <c r="H56" s="11">
        <v>1215.2380952380954</v>
      </c>
      <c r="I56" s="11">
        <f t="shared" si="0"/>
        <v>450</v>
      </c>
    </row>
    <row r="57" spans="1:9" x14ac:dyDescent="0.3">
      <c r="A57" s="11" t="s">
        <v>8</v>
      </c>
      <c r="B57" s="11" t="s">
        <v>9</v>
      </c>
      <c r="C57" s="11" t="s">
        <v>25</v>
      </c>
      <c r="D57" s="12" t="s">
        <v>23</v>
      </c>
      <c r="E57" s="11">
        <v>4</v>
      </c>
      <c r="F57" s="11">
        <v>3600</v>
      </c>
      <c r="G57" s="11">
        <v>1604</v>
      </c>
      <c r="H57" s="11">
        <v>304.47457627118638</v>
      </c>
      <c r="I57" s="11">
        <f t="shared" si="0"/>
        <v>900</v>
      </c>
    </row>
    <row r="58" spans="1:9" x14ac:dyDescent="0.3">
      <c r="A58" s="9" t="s">
        <v>8</v>
      </c>
      <c r="B58" s="9" t="s">
        <v>9</v>
      </c>
      <c r="C58" s="9" t="s">
        <v>12</v>
      </c>
      <c r="D58" s="10" t="s">
        <v>11</v>
      </c>
      <c r="E58" s="11">
        <v>16</v>
      </c>
      <c r="F58" s="11">
        <v>9600</v>
      </c>
      <c r="G58" s="11">
        <v>2416</v>
      </c>
      <c r="H58" s="11">
        <v>342.09523809523853</v>
      </c>
      <c r="I58" s="11">
        <f t="shared" si="0"/>
        <v>600</v>
      </c>
    </row>
    <row r="59" spans="1:9" x14ac:dyDescent="0.3">
      <c r="A59" s="11" t="s">
        <v>8</v>
      </c>
      <c r="B59" s="11" t="s">
        <v>9</v>
      </c>
      <c r="C59" s="11" t="s">
        <v>13</v>
      </c>
      <c r="D59" s="12" t="s">
        <v>14</v>
      </c>
      <c r="E59" s="11">
        <v>56</v>
      </c>
      <c r="F59" s="11">
        <v>21000</v>
      </c>
      <c r="G59" s="11">
        <v>11448</v>
      </c>
      <c r="H59" s="11">
        <v>454.85714285714312</v>
      </c>
      <c r="I59" s="11">
        <f t="shared" si="0"/>
        <v>375</v>
      </c>
    </row>
    <row r="60" spans="1:9" x14ac:dyDescent="0.3">
      <c r="A60" s="9" t="s">
        <v>8</v>
      </c>
      <c r="B60" s="9" t="s">
        <v>9</v>
      </c>
      <c r="C60" s="9" t="s">
        <v>16</v>
      </c>
      <c r="D60" s="10" t="s">
        <v>17</v>
      </c>
      <c r="E60" s="11">
        <v>4</v>
      </c>
      <c r="F60" s="11">
        <v>1196</v>
      </c>
      <c r="G60" s="11">
        <v>300</v>
      </c>
      <c r="H60" s="11">
        <v>96.000000000000114</v>
      </c>
      <c r="I60" s="11">
        <f t="shared" si="0"/>
        <v>299</v>
      </c>
    </row>
    <row r="61" spans="1:9" x14ac:dyDescent="0.3">
      <c r="A61" s="11" t="s">
        <v>8</v>
      </c>
      <c r="B61" s="11" t="s">
        <v>9</v>
      </c>
      <c r="C61" s="11" t="s">
        <v>18</v>
      </c>
      <c r="D61" s="12" t="s">
        <v>17</v>
      </c>
      <c r="E61" s="11">
        <v>4</v>
      </c>
      <c r="F61" s="11">
        <v>2300</v>
      </c>
      <c r="G61" s="11">
        <v>593.79999999999995</v>
      </c>
      <c r="H61" s="11">
        <v>182.80714285714294</v>
      </c>
      <c r="I61" s="11">
        <f t="shared" si="0"/>
        <v>575</v>
      </c>
    </row>
    <row r="62" spans="1:9" x14ac:dyDescent="0.3">
      <c r="A62" s="9" t="s">
        <v>8</v>
      </c>
      <c r="B62" s="9" t="s">
        <v>9</v>
      </c>
      <c r="C62" s="9" t="s">
        <v>19</v>
      </c>
      <c r="D62" s="10" t="s">
        <v>17</v>
      </c>
      <c r="E62" s="11">
        <v>92</v>
      </c>
      <c r="F62" s="11">
        <v>105800</v>
      </c>
      <c r="G62" s="11">
        <v>35967.399999999994</v>
      </c>
      <c r="H62" s="11">
        <v>7482.0642857142957</v>
      </c>
      <c r="I62" s="11">
        <f t="shared" si="0"/>
        <v>1150</v>
      </c>
    </row>
    <row r="63" spans="1:9" x14ac:dyDescent="0.3">
      <c r="A63" s="11" t="s">
        <v>8</v>
      </c>
      <c r="B63" s="11" t="s">
        <v>9</v>
      </c>
      <c r="C63" s="11" t="s">
        <v>21</v>
      </c>
      <c r="D63" s="12" t="s">
        <v>11</v>
      </c>
      <c r="E63" s="11">
        <v>60</v>
      </c>
      <c r="F63" s="11">
        <v>72000</v>
      </c>
      <c r="G63" s="11">
        <v>21060</v>
      </c>
      <c r="H63" s="11">
        <v>2425.7142857142899</v>
      </c>
      <c r="I63" s="11">
        <f t="shared" si="0"/>
        <v>1200</v>
      </c>
    </row>
    <row r="64" spans="1:9" x14ac:dyDescent="0.3">
      <c r="A64" s="9" t="s">
        <v>8</v>
      </c>
      <c r="B64" s="9" t="s">
        <v>9</v>
      </c>
      <c r="C64" s="9" t="s">
        <v>22</v>
      </c>
      <c r="D64" s="10" t="s">
        <v>23</v>
      </c>
      <c r="E64" s="11">
        <v>4</v>
      </c>
      <c r="F64" s="11">
        <v>796</v>
      </c>
      <c r="G64" s="11">
        <v>400</v>
      </c>
      <c r="H64" s="11">
        <v>18.85714285714289</v>
      </c>
      <c r="I64" s="11">
        <f t="shared" si="0"/>
        <v>199</v>
      </c>
    </row>
    <row r="65" spans="1:9" x14ac:dyDescent="0.3">
      <c r="A65" s="11" t="s">
        <v>8</v>
      </c>
      <c r="B65" s="11" t="s">
        <v>9</v>
      </c>
      <c r="C65" s="11" t="s">
        <v>24</v>
      </c>
      <c r="D65" s="12" t="s">
        <v>23</v>
      </c>
      <c r="E65" s="11">
        <v>128</v>
      </c>
      <c r="F65" s="11">
        <v>57600</v>
      </c>
      <c r="G65" s="11">
        <v>31244</v>
      </c>
      <c r="H65" s="11">
        <v>1255.0476190476184</v>
      </c>
      <c r="I65" s="11">
        <f t="shared" si="0"/>
        <v>450</v>
      </c>
    </row>
    <row r="66" spans="1:9" x14ac:dyDescent="0.3">
      <c r="A66" s="9" t="s">
        <v>8</v>
      </c>
      <c r="B66" s="9" t="s">
        <v>9</v>
      </c>
      <c r="C66" s="9" t="s">
        <v>25</v>
      </c>
      <c r="D66" s="10" t="s">
        <v>23</v>
      </c>
      <c r="E66" s="11">
        <v>4</v>
      </c>
      <c r="F66" s="11">
        <v>3600</v>
      </c>
      <c r="G66" s="11">
        <v>1604</v>
      </c>
      <c r="H66" s="11">
        <v>304.47457627118638</v>
      </c>
      <c r="I66" s="11">
        <f t="shared" si="0"/>
        <v>900</v>
      </c>
    </row>
    <row r="67" spans="1:9" x14ac:dyDescent="0.3">
      <c r="A67" s="11" t="s">
        <v>8</v>
      </c>
      <c r="B67" s="11" t="s">
        <v>9</v>
      </c>
      <c r="C67" s="11" t="s">
        <v>13</v>
      </c>
      <c r="D67" s="12" t="s">
        <v>14</v>
      </c>
      <c r="E67" s="11">
        <v>0</v>
      </c>
      <c r="F67" s="11">
        <v>0</v>
      </c>
      <c r="G67" s="11">
        <v>0</v>
      </c>
      <c r="H67" s="11">
        <v>0</v>
      </c>
      <c r="I67" s="11">
        <f t="shared" ref="I67:I130" si="1">IFERROR((F67/E67),0)</f>
        <v>0</v>
      </c>
    </row>
    <row r="68" spans="1:9" x14ac:dyDescent="0.3">
      <c r="A68" s="9" t="s">
        <v>8</v>
      </c>
      <c r="B68" s="9" t="s">
        <v>9</v>
      </c>
      <c r="C68" s="9" t="s">
        <v>19</v>
      </c>
      <c r="D68" s="10" t="s">
        <v>17</v>
      </c>
      <c r="E68" s="11">
        <v>0</v>
      </c>
      <c r="F68" s="11">
        <v>0</v>
      </c>
      <c r="G68" s="11">
        <v>0</v>
      </c>
      <c r="H68" s="11">
        <v>0</v>
      </c>
      <c r="I68" s="11">
        <f t="shared" si="1"/>
        <v>0</v>
      </c>
    </row>
    <row r="69" spans="1:9" x14ac:dyDescent="0.3">
      <c r="A69" s="11" t="s">
        <v>8</v>
      </c>
      <c r="B69" s="11" t="s">
        <v>9</v>
      </c>
      <c r="C69" s="11" t="s">
        <v>21</v>
      </c>
      <c r="D69" s="12" t="s">
        <v>11</v>
      </c>
      <c r="E69" s="11">
        <v>0</v>
      </c>
      <c r="F69" s="11">
        <v>0</v>
      </c>
      <c r="G69" s="11">
        <v>0</v>
      </c>
      <c r="H69" s="11">
        <v>0</v>
      </c>
      <c r="I69" s="11">
        <f t="shared" si="1"/>
        <v>0</v>
      </c>
    </row>
    <row r="70" spans="1:9" x14ac:dyDescent="0.3">
      <c r="A70" s="9" t="s">
        <v>8</v>
      </c>
      <c r="B70" s="9" t="s">
        <v>9</v>
      </c>
      <c r="C70" s="9" t="s">
        <v>24</v>
      </c>
      <c r="D70" s="10" t="s">
        <v>23</v>
      </c>
      <c r="E70" s="11">
        <v>0</v>
      </c>
      <c r="F70" s="11">
        <v>0</v>
      </c>
      <c r="G70" s="11">
        <v>0</v>
      </c>
      <c r="H70" s="11">
        <v>0</v>
      </c>
      <c r="I70" s="11">
        <f t="shared" si="1"/>
        <v>0</v>
      </c>
    </row>
    <row r="71" spans="1:9" x14ac:dyDescent="0.3">
      <c r="A71" s="11" t="s">
        <v>8</v>
      </c>
      <c r="B71" s="11" t="s">
        <v>28</v>
      </c>
      <c r="C71" s="11" t="s">
        <v>12</v>
      </c>
      <c r="D71" s="12" t="s">
        <v>11</v>
      </c>
      <c r="E71" s="11">
        <v>16</v>
      </c>
      <c r="F71" s="11">
        <v>9600</v>
      </c>
      <c r="G71" s="11">
        <v>3292</v>
      </c>
      <c r="H71" s="11">
        <v>300.38095238095229</v>
      </c>
      <c r="I71" s="11">
        <f t="shared" si="1"/>
        <v>600</v>
      </c>
    </row>
    <row r="72" spans="1:9" x14ac:dyDescent="0.3">
      <c r="A72" s="9" t="s">
        <v>8</v>
      </c>
      <c r="B72" s="9" t="s">
        <v>28</v>
      </c>
      <c r="C72" s="9" t="s">
        <v>15</v>
      </c>
      <c r="D72" s="10" t="s">
        <v>14</v>
      </c>
      <c r="E72" s="11">
        <v>0</v>
      </c>
      <c r="F72" s="11">
        <v>0</v>
      </c>
      <c r="G72" s="11">
        <v>0</v>
      </c>
      <c r="H72" s="11">
        <v>0</v>
      </c>
      <c r="I72" s="11">
        <f t="shared" si="1"/>
        <v>0</v>
      </c>
    </row>
    <row r="73" spans="1:9" x14ac:dyDescent="0.3">
      <c r="A73" s="11" t="s">
        <v>8</v>
      </c>
      <c r="B73" s="11" t="s">
        <v>28</v>
      </c>
      <c r="C73" s="11" t="s">
        <v>16</v>
      </c>
      <c r="D73" s="12" t="s">
        <v>17</v>
      </c>
      <c r="E73" s="11">
        <v>0</v>
      </c>
      <c r="F73" s="11">
        <v>0</v>
      </c>
      <c r="G73" s="11">
        <v>0</v>
      </c>
      <c r="H73" s="11">
        <v>0</v>
      </c>
      <c r="I73" s="11">
        <f t="shared" si="1"/>
        <v>0</v>
      </c>
    </row>
    <row r="74" spans="1:9" x14ac:dyDescent="0.3">
      <c r="A74" s="9" t="s">
        <v>8</v>
      </c>
      <c r="B74" s="9" t="s">
        <v>28</v>
      </c>
      <c r="C74" s="9" t="s">
        <v>18</v>
      </c>
      <c r="D74" s="10" t="s">
        <v>17</v>
      </c>
      <c r="E74" s="11">
        <v>20</v>
      </c>
      <c r="F74" s="11">
        <v>11500</v>
      </c>
      <c r="G74" s="11">
        <v>3454.3999999999996</v>
      </c>
      <c r="H74" s="11">
        <v>862.02857142857192</v>
      </c>
      <c r="I74" s="11">
        <f t="shared" si="1"/>
        <v>575</v>
      </c>
    </row>
    <row r="75" spans="1:9" x14ac:dyDescent="0.3">
      <c r="A75" s="11" t="s">
        <v>8</v>
      </c>
      <c r="B75" s="11" t="s">
        <v>28</v>
      </c>
      <c r="C75" s="11" t="s">
        <v>19</v>
      </c>
      <c r="D75" s="12" t="s">
        <v>17</v>
      </c>
      <c r="E75" s="11">
        <v>104</v>
      </c>
      <c r="F75" s="11">
        <v>119600</v>
      </c>
      <c r="G75" s="11">
        <v>47278.44</v>
      </c>
      <c r="H75" s="11">
        <v>7748.7385714285774</v>
      </c>
      <c r="I75" s="11">
        <f t="shared" si="1"/>
        <v>1150</v>
      </c>
    </row>
    <row r="76" spans="1:9" x14ac:dyDescent="0.3">
      <c r="A76" s="9" t="s">
        <v>8</v>
      </c>
      <c r="B76" s="9" t="s">
        <v>28</v>
      </c>
      <c r="C76" s="9" t="s">
        <v>21</v>
      </c>
      <c r="D76" s="10" t="s">
        <v>11</v>
      </c>
      <c r="E76" s="11">
        <v>96</v>
      </c>
      <c r="F76" s="11">
        <v>115200</v>
      </c>
      <c r="G76" s="11">
        <v>48228.600000000006</v>
      </c>
      <c r="H76" s="11">
        <v>3189.1142857142913</v>
      </c>
      <c r="I76" s="11">
        <f t="shared" si="1"/>
        <v>1200</v>
      </c>
    </row>
    <row r="77" spans="1:9" x14ac:dyDescent="0.3">
      <c r="A77" s="11" t="s">
        <v>8</v>
      </c>
      <c r="B77" s="11" t="s">
        <v>28</v>
      </c>
      <c r="C77" s="11" t="s">
        <v>22</v>
      </c>
      <c r="D77" s="12" t="s">
        <v>23</v>
      </c>
      <c r="E77" s="11">
        <v>0</v>
      </c>
      <c r="F77" s="11">
        <v>0</v>
      </c>
      <c r="G77" s="11">
        <v>0</v>
      </c>
      <c r="H77" s="11">
        <v>0</v>
      </c>
      <c r="I77" s="11">
        <f t="shared" si="1"/>
        <v>0</v>
      </c>
    </row>
    <row r="78" spans="1:9" x14ac:dyDescent="0.3">
      <c r="A78" s="9" t="s">
        <v>8</v>
      </c>
      <c r="B78" s="9" t="s">
        <v>28</v>
      </c>
      <c r="C78" s="9" t="s">
        <v>24</v>
      </c>
      <c r="D78" s="10" t="s">
        <v>23</v>
      </c>
      <c r="E78" s="11">
        <v>8</v>
      </c>
      <c r="F78" s="11">
        <v>3600</v>
      </c>
      <c r="G78" s="11">
        <v>1800</v>
      </c>
      <c r="H78" s="11">
        <v>85.714285714285779</v>
      </c>
      <c r="I78" s="11">
        <f t="shared" si="1"/>
        <v>450</v>
      </c>
    </row>
    <row r="79" spans="1:9" x14ac:dyDescent="0.3">
      <c r="A79" s="11" t="s">
        <v>8</v>
      </c>
      <c r="B79" s="11" t="s">
        <v>28</v>
      </c>
      <c r="C79" s="11" t="s">
        <v>10</v>
      </c>
      <c r="D79" s="12" t="s">
        <v>11</v>
      </c>
      <c r="E79" s="11">
        <v>8</v>
      </c>
      <c r="F79" s="11">
        <v>2680</v>
      </c>
      <c r="G79" s="11">
        <v>1088</v>
      </c>
      <c r="H79" s="11">
        <v>75.809523809523853</v>
      </c>
      <c r="I79" s="11">
        <f t="shared" si="1"/>
        <v>335</v>
      </c>
    </row>
    <row r="80" spans="1:9" x14ac:dyDescent="0.3">
      <c r="A80" s="9" t="s">
        <v>8</v>
      </c>
      <c r="B80" s="9" t="s">
        <v>28</v>
      </c>
      <c r="C80" s="9" t="s">
        <v>12</v>
      </c>
      <c r="D80" s="10" t="s">
        <v>11</v>
      </c>
      <c r="E80" s="11">
        <v>40</v>
      </c>
      <c r="F80" s="11">
        <v>24000</v>
      </c>
      <c r="G80" s="11">
        <v>8116</v>
      </c>
      <c r="H80" s="11">
        <v>756.38095238095229</v>
      </c>
      <c r="I80" s="11">
        <f t="shared" si="1"/>
        <v>600</v>
      </c>
    </row>
    <row r="81" spans="1:9" x14ac:dyDescent="0.3">
      <c r="A81" s="11" t="s">
        <v>8</v>
      </c>
      <c r="B81" s="11" t="s">
        <v>28</v>
      </c>
      <c r="C81" s="11" t="s">
        <v>13</v>
      </c>
      <c r="D81" s="12" t="s">
        <v>14</v>
      </c>
      <c r="E81" s="11">
        <v>16</v>
      </c>
      <c r="F81" s="11">
        <v>6000</v>
      </c>
      <c r="G81" s="11">
        <v>2853.92</v>
      </c>
      <c r="H81" s="11">
        <v>149.8133333333335</v>
      </c>
      <c r="I81" s="11">
        <f t="shared" si="1"/>
        <v>375</v>
      </c>
    </row>
    <row r="82" spans="1:9" x14ac:dyDescent="0.3">
      <c r="A82" s="9" t="s">
        <v>8</v>
      </c>
      <c r="B82" s="9" t="s">
        <v>28</v>
      </c>
      <c r="C82" s="9" t="s">
        <v>15</v>
      </c>
      <c r="D82" s="10" t="s">
        <v>14</v>
      </c>
      <c r="E82" s="11">
        <v>4</v>
      </c>
      <c r="F82" s="11">
        <v>660</v>
      </c>
      <c r="G82" s="11">
        <v>144</v>
      </c>
      <c r="H82" s="11">
        <v>24.571428571428612</v>
      </c>
      <c r="I82" s="11">
        <f t="shared" si="1"/>
        <v>165</v>
      </c>
    </row>
    <row r="83" spans="1:9" x14ac:dyDescent="0.3">
      <c r="A83" s="11" t="s">
        <v>8</v>
      </c>
      <c r="B83" s="11" t="s">
        <v>28</v>
      </c>
      <c r="C83" s="11" t="s">
        <v>16</v>
      </c>
      <c r="D83" s="12" t="s">
        <v>17</v>
      </c>
      <c r="E83" s="11">
        <v>12</v>
      </c>
      <c r="F83" s="11">
        <v>3588</v>
      </c>
      <c r="G83" s="11">
        <v>900</v>
      </c>
      <c r="H83" s="11">
        <v>288.00000000000045</v>
      </c>
      <c r="I83" s="11">
        <f t="shared" si="1"/>
        <v>299</v>
      </c>
    </row>
    <row r="84" spans="1:9" x14ac:dyDescent="0.3">
      <c r="A84" s="9" t="s">
        <v>8</v>
      </c>
      <c r="B84" s="9" t="s">
        <v>28</v>
      </c>
      <c r="C84" s="9" t="s">
        <v>18</v>
      </c>
      <c r="D84" s="10" t="s">
        <v>17</v>
      </c>
      <c r="E84" s="11">
        <v>16</v>
      </c>
      <c r="F84" s="11">
        <v>9200</v>
      </c>
      <c r="G84" s="11">
        <v>2176</v>
      </c>
      <c r="H84" s="11">
        <v>752.57142857142935</v>
      </c>
      <c r="I84" s="11">
        <f t="shared" si="1"/>
        <v>575</v>
      </c>
    </row>
    <row r="85" spans="1:9" x14ac:dyDescent="0.3">
      <c r="A85" s="11" t="s">
        <v>8</v>
      </c>
      <c r="B85" s="11" t="s">
        <v>28</v>
      </c>
      <c r="C85" s="11" t="s">
        <v>19</v>
      </c>
      <c r="D85" s="12" t="s">
        <v>17</v>
      </c>
      <c r="E85" s="11">
        <v>944</v>
      </c>
      <c r="F85" s="11">
        <v>1085600</v>
      </c>
      <c r="G85" s="11">
        <v>435579.92000000004</v>
      </c>
      <c r="H85" s="11">
        <v>69645.008571428596</v>
      </c>
      <c r="I85" s="11">
        <f t="shared" si="1"/>
        <v>1150</v>
      </c>
    </row>
    <row r="86" spans="1:9" x14ac:dyDescent="0.3">
      <c r="A86" s="9" t="s">
        <v>8</v>
      </c>
      <c r="B86" s="9" t="s">
        <v>28</v>
      </c>
      <c r="C86" s="9" t="s">
        <v>20</v>
      </c>
      <c r="D86" s="10" t="s">
        <v>14</v>
      </c>
      <c r="E86" s="11">
        <v>12</v>
      </c>
      <c r="F86" s="11">
        <v>9000</v>
      </c>
      <c r="G86" s="11">
        <v>4712.5599999999995</v>
      </c>
      <c r="H86" s="11">
        <v>204.1638095238095</v>
      </c>
      <c r="I86" s="11">
        <f t="shared" si="1"/>
        <v>750</v>
      </c>
    </row>
    <row r="87" spans="1:9" x14ac:dyDescent="0.3">
      <c r="A87" s="11" t="s">
        <v>8</v>
      </c>
      <c r="B87" s="11" t="s">
        <v>28</v>
      </c>
      <c r="C87" s="11" t="s">
        <v>21</v>
      </c>
      <c r="D87" s="12" t="s">
        <v>11</v>
      </c>
      <c r="E87" s="11">
        <v>1192</v>
      </c>
      <c r="F87" s="11">
        <v>1430400</v>
      </c>
      <c r="G87" s="11">
        <v>606512.88000000024</v>
      </c>
      <c r="H87" s="11">
        <v>39232.719999999972</v>
      </c>
      <c r="I87" s="11">
        <f t="shared" si="1"/>
        <v>1200</v>
      </c>
    </row>
    <row r="88" spans="1:9" x14ac:dyDescent="0.3">
      <c r="A88" s="9" t="s">
        <v>8</v>
      </c>
      <c r="B88" s="9" t="s">
        <v>28</v>
      </c>
      <c r="C88" s="9" t="s">
        <v>24</v>
      </c>
      <c r="D88" s="10" t="s">
        <v>23</v>
      </c>
      <c r="E88" s="11">
        <v>88</v>
      </c>
      <c r="F88" s="11">
        <v>39600</v>
      </c>
      <c r="G88" s="11">
        <v>19928.52</v>
      </c>
      <c r="H88" s="11">
        <v>936.73714285714232</v>
      </c>
      <c r="I88" s="11">
        <f t="shared" si="1"/>
        <v>450</v>
      </c>
    </row>
    <row r="89" spans="1:9" x14ac:dyDescent="0.3">
      <c r="A89" s="11" t="s">
        <v>8</v>
      </c>
      <c r="B89" s="11" t="s">
        <v>28</v>
      </c>
      <c r="C89" s="11" t="s">
        <v>10</v>
      </c>
      <c r="D89" s="12" t="s">
        <v>11</v>
      </c>
      <c r="E89" s="11">
        <v>16</v>
      </c>
      <c r="F89" s="11">
        <v>5360</v>
      </c>
      <c r="G89" s="11">
        <v>2176</v>
      </c>
      <c r="H89" s="11">
        <v>151.61904761904771</v>
      </c>
      <c r="I89" s="11">
        <f t="shared" si="1"/>
        <v>335</v>
      </c>
    </row>
    <row r="90" spans="1:9" x14ac:dyDescent="0.3">
      <c r="A90" s="9" t="s">
        <v>8</v>
      </c>
      <c r="B90" s="9" t="s">
        <v>28</v>
      </c>
      <c r="C90" s="9" t="s">
        <v>12</v>
      </c>
      <c r="D90" s="10" t="s">
        <v>11</v>
      </c>
      <c r="E90" s="11">
        <v>76</v>
      </c>
      <c r="F90" s="11">
        <v>45600</v>
      </c>
      <c r="G90" s="11">
        <v>15352</v>
      </c>
      <c r="H90" s="11">
        <v>1440.3809523809541</v>
      </c>
      <c r="I90" s="11">
        <f t="shared" si="1"/>
        <v>600</v>
      </c>
    </row>
    <row r="91" spans="1:9" x14ac:dyDescent="0.3">
      <c r="A91" s="11" t="s">
        <v>8</v>
      </c>
      <c r="B91" s="11" t="s">
        <v>28</v>
      </c>
      <c r="C91" s="11" t="s">
        <v>13</v>
      </c>
      <c r="D91" s="12" t="s">
        <v>14</v>
      </c>
      <c r="E91" s="11">
        <v>12</v>
      </c>
      <c r="F91" s="11">
        <v>4500</v>
      </c>
      <c r="G91" s="11">
        <v>2225.7199999999998</v>
      </c>
      <c r="H91" s="11">
        <v>108.29904761904754</v>
      </c>
      <c r="I91" s="11">
        <f t="shared" si="1"/>
        <v>375</v>
      </c>
    </row>
    <row r="92" spans="1:9" x14ac:dyDescent="0.3">
      <c r="A92" s="9" t="s">
        <v>8</v>
      </c>
      <c r="B92" s="9" t="s">
        <v>28</v>
      </c>
      <c r="C92" s="9" t="s">
        <v>16</v>
      </c>
      <c r="D92" s="10" t="s">
        <v>17</v>
      </c>
      <c r="E92" s="11">
        <v>4</v>
      </c>
      <c r="F92" s="11">
        <v>1196</v>
      </c>
      <c r="G92" s="11">
        <v>300</v>
      </c>
      <c r="H92" s="11">
        <v>96.000000000000114</v>
      </c>
      <c r="I92" s="11">
        <f t="shared" si="1"/>
        <v>299</v>
      </c>
    </row>
    <row r="93" spans="1:9" x14ac:dyDescent="0.3">
      <c r="A93" s="11" t="s">
        <v>8</v>
      </c>
      <c r="B93" s="11" t="s">
        <v>28</v>
      </c>
      <c r="C93" s="11" t="s">
        <v>18</v>
      </c>
      <c r="D93" s="12" t="s">
        <v>17</v>
      </c>
      <c r="E93" s="11">
        <v>52</v>
      </c>
      <c r="F93" s="11">
        <v>29900</v>
      </c>
      <c r="G93" s="11">
        <v>7326.4000000000015</v>
      </c>
      <c r="H93" s="11">
        <v>2418.6000000000022</v>
      </c>
      <c r="I93" s="11">
        <f t="shared" si="1"/>
        <v>575</v>
      </c>
    </row>
    <row r="94" spans="1:9" x14ac:dyDescent="0.3">
      <c r="A94" s="9" t="s">
        <v>8</v>
      </c>
      <c r="B94" s="9" t="s">
        <v>28</v>
      </c>
      <c r="C94" s="9" t="s">
        <v>19</v>
      </c>
      <c r="D94" s="10" t="s">
        <v>17</v>
      </c>
      <c r="E94" s="11">
        <v>1248</v>
      </c>
      <c r="F94" s="11">
        <v>1435200</v>
      </c>
      <c r="G94" s="11">
        <v>568465.12000000011</v>
      </c>
      <c r="H94" s="11">
        <v>92864.451428571483</v>
      </c>
      <c r="I94" s="11">
        <f t="shared" si="1"/>
        <v>1150</v>
      </c>
    </row>
    <row r="95" spans="1:9" x14ac:dyDescent="0.3">
      <c r="A95" s="11" t="s">
        <v>8</v>
      </c>
      <c r="B95" s="11" t="s">
        <v>28</v>
      </c>
      <c r="C95" s="11" t="s">
        <v>20</v>
      </c>
      <c r="D95" s="12" t="s">
        <v>14</v>
      </c>
      <c r="E95" s="11">
        <v>8</v>
      </c>
      <c r="F95" s="11">
        <v>6000</v>
      </c>
      <c r="G95" s="11">
        <v>3048</v>
      </c>
      <c r="H95" s="11">
        <v>140.5714285714289</v>
      </c>
      <c r="I95" s="11">
        <f t="shared" si="1"/>
        <v>750</v>
      </c>
    </row>
    <row r="96" spans="1:9" x14ac:dyDescent="0.3">
      <c r="A96" s="9" t="s">
        <v>8</v>
      </c>
      <c r="B96" s="9" t="s">
        <v>28</v>
      </c>
      <c r="C96" s="9" t="s">
        <v>21</v>
      </c>
      <c r="D96" s="10" t="s">
        <v>11</v>
      </c>
      <c r="E96" s="11">
        <v>1424</v>
      </c>
      <c r="F96" s="11">
        <v>1708800</v>
      </c>
      <c r="G96" s="11">
        <v>723543.64000000025</v>
      </c>
      <c r="H96" s="11">
        <v>46916.969523809501</v>
      </c>
      <c r="I96" s="11">
        <f t="shared" si="1"/>
        <v>1200</v>
      </c>
    </row>
    <row r="97" spans="1:9" x14ac:dyDescent="0.3">
      <c r="A97" s="11" t="s">
        <v>8</v>
      </c>
      <c r="B97" s="11" t="s">
        <v>28</v>
      </c>
      <c r="C97" s="11" t="s">
        <v>24</v>
      </c>
      <c r="D97" s="12" t="s">
        <v>23</v>
      </c>
      <c r="E97" s="11">
        <v>96</v>
      </c>
      <c r="F97" s="11">
        <v>43200</v>
      </c>
      <c r="G97" s="11">
        <v>21942.840000000004</v>
      </c>
      <c r="H97" s="11">
        <v>1012.2457142857165</v>
      </c>
      <c r="I97" s="11">
        <f t="shared" si="1"/>
        <v>450</v>
      </c>
    </row>
    <row r="98" spans="1:9" x14ac:dyDescent="0.3">
      <c r="A98" s="9" t="s">
        <v>8</v>
      </c>
      <c r="B98" s="9" t="s">
        <v>28</v>
      </c>
      <c r="C98" s="9" t="s">
        <v>25</v>
      </c>
      <c r="D98" s="10" t="s">
        <v>23</v>
      </c>
      <c r="E98" s="11">
        <v>12</v>
      </c>
      <c r="F98" s="11">
        <v>10800</v>
      </c>
      <c r="G98" s="11">
        <v>5497.52</v>
      </c>
      <c r="H98" s="11">
        <v>808.85288135593146</v>
      </c>
      <c r="I98" s="11">
        <f t="shared" si="1"/>
        <v>900</v>
      </c>
    </row>
    <row r="99" spans="1:9" x14ac:dyDescent="0.3">
      <c r="A99" s="11" t="s">
        <v>8</v>
      </c>
      <c r="B99" s="11" t="s">
        <v>28</v>
      </c>
      <c r="C99" s="11" t="s">
        <v>10</v>
      </c>
      <c r="D99" s="12" t="s">
        <v>11</v>
      </c>
      <c r="E99" s="11">
        <v>36</v>
      </c>
      <c r="F99" s="11">
        <v>12060</v>
      </c>
      <c r="G99" s="11">
        <v>4896</v>
      </c>
      <c r="H99" s="11">
        <v>341.14285714285779</v>
      </c>
      <c r="I99" s="11">
        <f t="shared" si="1"/>
        <v>335</v>
      </c>
    </row>
    <row r="100" spans="1:9" x14ac:dyDescent="0.3">
      <c r="A100" s="9" t="s">
        <v>8</v>
      </c>
      <c r="B100" s="9" t="s">
        <v>28</v>
      </c>
      <c r="C100" s="9" t="s">
        <v>12</v>
      </c>
      <c r="D100" s="10" t="s">
        <v>11</v>
      </c>
      <c r="E100" s="11">
        <v>32</v>
      </c>
      <c r="F100" s="11">
        <v>19200</v>
      </c>
      <c r="G100" s="11">
        <v>6364.5600000000013</v>
      </c>
      <c r="H100" s="11">
        <v>611.21142857142877</v>
      </c>
      <c r="I100" s="11">
        <f t="shared" si="1"/>
        <v>600</v>
      </c>
    </row>
    <row r="101" spans="1:9" x14ac:dyDescent="0.3">
      <c r="A101" s="11" t="s">
        <v>8</v>
      </c>
      <c r="B101" s="11" t="s">
        <v>28</v>
      </c>
      <c r="C101" s="11" t="s">
        <v>13</v>
      </c>
      <c r="D101" s="12" t="s">
        <v>14</v>
      </c>
      <c r="E101" s="11">
        <v>20</v>
      </c>
      <c r="F101" s="11">
        <v>7500</v>
      </c>
      <c r="G101" s="11">
        <v>3200</v>
      </c>
      <c r="H101" s="11">
        <v>204.76190476190504</v>
      </c>
      <c r="I101" s="11">
        <f t="shared" si="1"/>
        <v>375</v>
      </c>
    </row>
    <row r="102" spans="1:9" x14ac:dyDescent="0.3">
      <c r="A102" s="9" t="s">
        <v>8</v>
      </c>
      <c r="B102" s="9" t="s">
        <v>28</v>
      </c>
      <c r="C102" s="9" t="s">
        <v>15</v>
      </c>
      <c r="D102" s="10" t="s">
        <v>14</v>
      </c>
      <c r="E102" s="11">
        <v>4</v>
      </c>
      <c r="F102" s="11">
        <v>660</v>
      </c>
      <c r="G102" s="11">
        <v>144</v>
      </c>
      <c r="H102" s="11">
        <v>24.571428571428612</v>
      </c>
      <c r="I102" s="11">
        <f t="shared" si="1"/>
        <v>165</v>
      </c>
    </row>
    <row r="103" spans="1:9" x14ac:dyDescent="0.3">
      <c r="A103" s="11" t="s">
        <v>8</v>
      </c>
      <c r="B103" s="11" t="s">
        <v>28</v>
      </c>
      <c r="C103" s="11" t="s">
        <v>18</v>
      </c>
      <c r="D103" s="12" t="s">
        <v>17</v>
      </c>
      <c r="E103" s="11">
        <v>16</v>
      </c>
      <c r="F103" s="11">
        <v>9200</v>
      </c>
      <c r="G103" s="11">
        <v>2136.16</v>
      </c>
      <c r="H103" s="11">
        <v>756.84000000000106</v>
      </c>
      <c r="I103" s="11">
        <f t="shared" si="1"/>
        <v>575</v>
      </c>
    </row>
    <row r="104" spans="1:9" x14ac:dyDescent="0.3">
      <c r="A104" s="9" t="s">
        <v>8</v>
      </c>
      <c r="B104" s="9" t="s">
        <v>28</v>
      </c>
      <c r="C104" s="9" t="s">
        <v>19</v>
      </c>
      <c r="D104" s="10" t="s">
        <v>17</v>
      </c>
      <c r="E104" s="11">
        <v>568</v>
      </c>
      <c r="F104" s="11">
        <v>653200</v>
      </c>
      <c r="G104" s="11">
        <v>252718.04000000004</v>
      </c>
      <c r="H104" s="11">
        <v>42908.781428571441</v>
      </c>
      <c r="I104" s="11">
        <f t="shared" si="1"/>
        <v>1150</v>
      </c>
    </row>
    <row r="105" spans="1:9" x14ac:dyDescent="0.3">
      <c r="A105" s="11" t="s">
        <v>8</v>
      </c>
      <c r="B105" s="11" t="s">
        <v>28</v>
      </c>
      <c r="C105" s="11" t="s">
        <v>20</v>
      </c>
      <c r="D105" s="12" t="s">
        <v>14</v>
      </c>
      <c r="E105" s="11">
        <v>4</v>
      </c>
      <c r="F105" s="11">
        <v>3000</v>
      </c>
      <c r="G105" s="11">
        <v>1524</v>
      </c>
      <c r="H105" s="11">
        <v>70.285714285714448</v>
      </c>
      <c r="I105" s="11">
        <f t="shared" si="1"/>
        <v>750</v>
      </c>
    </row>
    <row r="106" spans="1:9" x14ac:dyDescent="0.3">
      <c r="A106" s="9" t="s">
        <v>8</v>
      </c>
      <c r="B106" s="9" t="s">
        <v>28</v>
      </c>
      <c r="C106" s="9" t="s">
        <v>21</v>
      </c>
      <c r="D106" s="10" t="s">
        <v>11</v>
      </c>
      <c r="E106" s="11">
        <v>780</v>
      </c>
      <c r="F106" s="11">
        <v>936000</v>
      </c>
      <c r="G106" s="11">
        <v>381732.91999999981</v>
      </c>
      <c r="H106" s="11">
        <v>26393.670476190513</v>
      </c>
      <c r="I106" s="11">
        <f t="shared" si="1"/>
        <v>1200</v>
      </c>
    </row>
    <row r="107" spans="1:9" x14ac:dyDescent="0.3">
      <c r="A107" s="11" t="s">
        <v>8</v>
      </c>
      <c r="B107" s="11" t="s">
        <v>28</v>
      </c>
      <c r="C107" s="11" t="s">
        <v>24</v>
      </c>
      <c r="D107" s="12" t="s">
        <v>23</v>
      </c>
      <c r="E107" s="11">
        <v>44</v>
      </c>
      <c r="F107" s="11">
        <v>19800</v>
      </c>
      <c r="G107" s="11">
        <v>9364.9599999999991</v>
      </c>
      <c r="H107" s="11">
        <v>496.90666666666766</v>
      </c>
      <c r="I107" s="11">
        <f t="shared" si="1"/>
        <v>450</v>
      </c>
    </row>
    <row r="108" spans="1:9" x14ac:dyDescent="0.3">
      <c r="A108" s="9" t="s">
        <v>8</v>
      </c>
      <c r="B108" s="9" t="s">
        <v>28</v>
      </c>
      <c r="C108" s="9" t="s">
        <v>10</v>
      </c>
      <c r="D108" s="10" t="s">
        <v>11</v>
      </c>
      <c r="E108" s="11">
        <v>8</v>
      </c>
      <c r="F108" s="11">
        <v>2680</v>
      </c>
      <c r="G108" s="11">
        <v>448</v>
      </c>
      <c r="H108" s="11">
        <v>106.28571428571422</v>
      </c>
      <c r="I108" s="11">
        <f t="shared" si="1"/>
        <v>335</v>
      </c>
    </row>
    <row r="109" spans="1:9" x14ac:dyDescent="0.3">
      <c r="A109" s="11" t="s">
        <v>8</v>
      </c>
      <c r="B109" s="11" t="s">
        <v>28</v>
      </c>
      <c r="C109" s="11" t="s">
        <v>12</v>
      </c>
      <c r="D109" s="12" t="s">
        <v>11</v>
      </c>
      <c r="E109" s="11">
        <v>48</v>
      </c>
      <c r="F109" s="11">
        <v>28800</v>
      </c>
      <c r="G109" s="11">
        <v>7248</v>
      </c>
      <c r="H109" s="11">
        <v>1026.2857142857138</v>
      </c>
      <c r="I109" s="11">
        <f t="shared" si="1"/>
        <v>600</v>
      </c>
    </row>
    <row r="110" spans="1:9" x14ac:dyDescent="0.3">
      <c r="A110" s="9" t="s">
        <v>8</v>
      </c>
      <c r="B110" s="9" t="s">
        <v>28</v>
      </c>
      <c r="C110" s="9" t="s">
        <v>16</v>
      </c>
      <c r="D110" s="10" t="s">
        <v>17</v>
      </c>
      <c r="E110" s="11">
        <v>4</v>
      </c>
      <c r="F110" s="11">
        <v>1196</v>
      </c>
      <c r="G110" s="11">
        <v>200</v>
      </c>
      <c r="H110" s="11">
        <v>106.71428571428578</v>
      </c>
      <c r="I110" s="11">
        <f t="shared" si="1"/>
        <v>299</v>
      </c>
    </row>
    <row r="111" spans="1:9" x14ac:dyDescent="0.3">
      <c r="A111" s="11" t="s">
        <v>8</v>
      </c>
      <c r="B111" s="11" t="s">
        <v>28</v>
      </c>
      <c r="C111" s="11" t="s">
        <v>18</v>
      </c>
      <c r="D111" s="12" t="s">
        <v>17</v>
      </c>
      <c r="E111" s="11">
        <v>56</v>
      </c>
      <c r="F111" s="11">
        <v>32200</v>
      </c>
      <c r="G111" s="11">
        <v>7352.16</v>
      </c>
      <c r="H111" s="11">
        <v>2662.2685714285726</v>
      </c>
      <c r="I111" s="11">
        <f t="shared" si="1"/>
        <v>575</v>
      </c>
    </row>
    <row r="112" spans="1:9" x14ac:dyDescent="0.3">
      <c r="A112" s="9" t="s">
        <v>8</v>
      </c>
      <c r="B112" s="9" t="s">
        <v>28</v>
      </c>
      <c r="C112" s="9" t="s">
        <v>19</v>
      </c>
      <c r="D112" s="10" t="s">
        <v>17</v>
      </c>
      <c r="E112" s="11">
        <v>88</v>
      </c>
      <c r="F112" s="11">
        <v>101200</v>
      </c>
      <c r="G112" s="11">
        <v>26639.600000000006</v>
      </c>
      <c r="H112" s="11">
        <v>7988.6142857142986</v>
      </c>
      <c r="I112" s="11">
        <f t="shared" si="1"/>
        <v>1150</v>
      </c>
    </row>
    <row r="113" spans="1:9" x14ac:dyDescent="0.3">
      <c r="A113" s="11" t="s">
        <v>8</v>
      </c>
      <c r="B113" s="11" t="s">
        <v>28</v>
      </c>
      <c r="C113" s="11" t="s">
        <v>20</v>
      </c>
      <c r="D113" s="12" t="s">
        <v>14</v>
      </c>
      <c r="E113" s="11">
        <v>8</v>
      </c>
      <c r="F113" s="11">
        <v>6000</v>
      </c>
      <c r="G113" s="11">
        <v>2808</v>
      </c>
      <c r="H113" s="11">
        <v>152</v>
      </c>
      <c r="I113" s="11">
        <f t="shared" si="1"/>
        <v>750</v>
      </c>
    </row>
    <row r="114" spans="1:9" x14ac:dyDescent="0.3">
      <c r="A114" s="9" t="s">
        <v>8</v>
      </c>
      <c r="B114" s="9" t="s">
        <v>28</v>
      </c>
      <c r="C114" s="9" t="s">
        <v>21</v>
      </c>
      <c r="D114" s="10" t="s">
        <v>11</v>
      </c>
      <c r="E114" s="11">
        <v>300</v>
      </c>
      <c r="F114" s="11">
        <v>360000</v>
      </c>
      <c r="G114" s="11">
        <v>127225.36000000002</v>
      </c>
      <c r="H114" s="11">
        <v>11084.506666666683</v>
      </c>
      <c r="I114" s="11">
        <f t="shared" si="1"/>
        <v>1200</v>
      </c>
    </row>
    <row r="115" spans="1:9" x14ac:dyDescent="0.3">
      <c r="A115" s="11" t="s">
        <v>8</v>
      </c>
      <c r="B115" s="11" t="s">
        <v>28</v>
      </c>
      <c r="C115" s="11" t="s">
        <v>24</v>
      </c>
      <c r="D115" s="12" t="s">
        <v>23</v>
      </c>
      <c r="E115" s="11">
        <v>28</v>
      </c>
      <c r="F115" s="11">
        <v>12600</v>
      </c>
      <c r="G115" s="11">
        <v>4228</v>
      </c>
      <c r="H115" s="11">
        <v>398.66666666666697</v>
      </c>
      <c r="I115" s="11">
        <f t="shared" si="1"/>
        <v>450</v>
      </c>
    </row>
    <row r="116" spans="1:9" x14ac:dyDescent="0.3">
      <c r="A116" s="9" t="s">
        <v>8</v>
      </c>
      <c r="B116" s="9" t="s">
        <v>28</v>
      </c>
      <c r="C116" s="9" t="s">
        <v>26</v>
      </c>
      <c r="D116" s="10" t="s">
        <v>27</v>
      </c>
      <c r="E116" s="11">
        <v>0</v>
      </c>
      <c r="F116" s="11">
        <v>0</v>
      </c>
      <c r="G116" s="11">
        <v>0</v>
      </c>
      <c r="H116" s="11">
        <v>0</v>
      </c>
      <c r="I116" s="11">
        <f t="shared" si="1"/>
        <v>0</v>
      </c>
    </row>
    <row r="117" spans="1:9" x14ac:dyDescent="0.3">
      <c r="A117" s="11" t="s">
        <v>8</v>
      </c>
      <c r="B117" s="11" t="s">
        <v>28</v>
      </c>
      <c r="C117" s="11" t="s">
        <v>12</v>
      </c>
      <c r="D117" s="12" t="s">
        <v>11</v>
      </c>
      <c r="E117" s="11">
        <v>60</v>
      </c>
      <c r="F117" s="11">
        <v>36000</v>
      </c>
      <c r="G117" s="11">
        <v>9316.5600000000013</v>
      </c>
      <c r="H117" s="11">
        <v>1270.6399999999994</v>
      </c>
      <c r="I117" s="11">
        <f t="shared" si="1"/>
        <v>600</v>
      </c>
    </row>
    <row r="118" spans="1:9" x14ac:dyDescent="0.3">
      <c r="A118" s="9" t="s">
        <v>8</v>
      </c>
      <c r="B118" s="9" t="s">
        <v>28</v>
      </c>
      <c r="C118" s="9" t="s">
        <v>13</v>
      </c>
      <c r="D118" s="10" t="s">
        <v>14</v>
      </c>
      <c r="E118" s="11">
        <v>12</v>
      </c>
      <c r="F118" s="11">
        <v>4500</v>
      </c>
      <c r="G118" s="11">
        <v>1872</v>
      </c>
      <c r="H118" s="11">
        <v>125.14285714285734</v>
      </c>
      <c r="I118" s="11">
        <f t="shared" si="1"/>
        <v>375</v>
      </c>
    </row>
    <row r="119" spans="1:9" x14ac:dyDescent="0.3">
      <c r="A119" s="11" t="s">
        <v>8</v>
      </c>
      <c r="B119" s="11" t="s">
        <v>28</v>
      </c>
      <c r="C119" s="11" t="s">
        <v>16</v>
      </c>
      <c r="D119" s="12" t="s">
        <v>17</v>
      </c>
      <c r="E119" s="11">
        <v>0</v>
      </c>
      <c r="F119" s="11">
        <v>0</v>
      </c>
      <c r="G119" s="11">
        <v>0</v>
      </c>
      <c r="H119" s="11">
        <v>0</v>
      </c>
      <c r="I119" s="11">
        <f t="shared" si="1"/>
        <v>0</v>
      </c>
    </row>
    <row r="120" spans="1:9" x14ac:dyDescent="0.3">
      <c r="A120" s="9" t="s">
        <v>8</v>
      </c>
      <c r="B120" s="9" t="s">
        <v>28</v>
      </c>
      <c r="C120" s="9" t="s">
        <v>18</v>
      </c>
      <c r="D120" s="10" t="s">
        <v>17</v>
      </c>
      <c r="E120" s="11">
        <v>68</v>
      </c>
      <c r="F120" s="11">
        <v>39100</v>
      </c>
      <c r="G120" s="11">
        <v>8568</v>
      </c>
      <c r="H120" s="11">
        <v>3271.2857142857174</v>
      </c>
      <c r="I120" s="11">
        <f t="shared" si="1"/>
        <v>575</v>
      </c>
    </row>
    <row r="121" spans="1:9" x14ac:dyDescent="0.3">
      <c r="A121" s="11" t="s">
        <v>8</v>
      </c>
      <c r="B121" s="11" t="s">
        <v>28</v>
      </c>
      <c r="C121" s="11" t="s">
        <v>19</v>
      </c>
      <c r="D121" s="12" t="s">
        <v>17</v>
      </c>
      <c r="E121" s="11">
        <v>92</v>
      </c>
      <c r="F121" s="11">
        <v>105800</v>
      </c>
      <c r="G121" s="11">
        <v>28753.199999999997</v>
      </c>
      <c r="H121" s="11">
        <v>8255.0142857142928</v>
      </c>
      <c r="I121" s="11">
        <f t="shared" si="1"/>
        <v>1150</v>
      </c>
    </row>
    <row r="122" spans="1:9" x14ac:dyDescent="0.3">
      <c r="A122" s="9" t="s">
        <v>8</v>
      </c>
      <c r="B122" s="9" t="s">
        <v>28</v>
      </c>
      <c r="C122" s="9" t="s">
        <v>20</v>
      </c>
      <c r="D122" s="10" t="s">
        <v>14</v>
      </c>
      <c r="E122" s="11">
        <v>4</v>
      </c>
      <c r="F122" s="11">
        <v>3000</v>
      </c>
      <c r="G122" s="11">
        <v>1404</v>
      </c>
      <c r="H122" s="11">
        <v>76</v>
      </c>
      <c r="I122" s="11">
        <f t="shared" si="1"/>
        <v>750</v>
      </c>
    </row>
    <row r="123" spans="1:9" x14ac:dyDescent="0.3">
      <c r="A123" s="11" t="s">
        <v>8</v>
      </c>
      <c r="B123" s="11" t="s">
        <v>28</v>
      </c>
      <c r="C123" s="11" t="s">
        <v>21</v>
      </c>
      <c r="D123" s="12" t="s">
        <v>11</v>
      </c>
      <c r="E123" s="11">
        <v>236</v>
      </c>
      <c r="F123" s="11">
        <v>283200</v>
      </c>
      <c r="G123" s="11">
        <v>83482.880000000005</v>
      </c>
      <c r="H123" s="11">
        <v>9510.3390476190543</v>
      </c>
      <c r="I123" s="11">
        <f t="shared" si="1"/>
        <v>1200</v>
      </c>
    </row>
    <row r="124" spans="1:9" x14ac:dyDescent="0.3">
      <c r="A124" s="9" t="s">
        <v>8</v>
      </c>
      <c r="B124" s="9" t="s">
        <v>28</v>
      </c>
      <c r="C124" s="9" t="s">
        <v>22</v>
      </c>
      <c r="D124" s="10" t="s">
        <v>23</v>
      </c>
      <c r="E124" s="11">
        <v>4</v>
      </c>
      <c r="F124" s="11">
        <v>796</v>
      </c>
      <c r="G124" s="11">
        <v>0</v>
      </c>
      <c r="H124" s="11">
        <v>37.904761904761926</v>
      </c>
      <c r="I124" s="11">
        <f t="shared" si="1"/>
        <v>199</v>
      </c>
    </row>
    <row r="125" spans="1:9" x14ac:dyDescent="0.3">
      <c r="A125" s="11" t="s">
        <v>8</v>
      </c>
      <c r="B125" s="11" t="s">
        <v>28</v>
      </c>
      <c r="C125" s="11" t="s">
        <v>24</v>
      </c>
      <c r="D125" s="12" t="s">
        <v>23</v>
      </c>
      <c r="E125" s="11">
        <v>36</v>
      </c>
      <c r="F125" s="11">
        <v>16200</v>
      </c>
      <c r="G125" s="11">
        <v>5436</v>
      </c>
      <c r="H125" s="11">
        <v>512.57142857142935</v>
      </c>
      <c r="I125" s="11">
        <f t="shared" si="1"/>
        <v>450</v>
      </c>
    </row>
    <row r="126" spans="1:9" x14ac:dyDescent="0.3">
      <c r="A126" s="9" t="s">
        <v>8</v>
      </c>
      <c r="B126" s="9" t="s">
        <v>28</v>
      </c>
      <c r="C126" s="9" t="s">
        <v>25</v>
      </c>
      <c r="D126" s="10" t="s">
        <v>23</v>
      </c>
      <c r="E126" s="11">
        <v>0</v>
      </c>
      <c r="F126" s="11">
        <v>0</v>
      </c>
      <c r="G126" s="11">
        <v>0</v>
      </c>
      <c r="H126" s="11">
        <v>0</v>
      </c>
      <c r="I126" s="11">
        <f t="shared" si="1"/>
        <v>0</v>
      </c>
    </row>
    <row r="127" spans="1:9" x14ac:dyDescent="0.3">
      <c r="A127" s="11" t="s">
        <v>8</v>
      </c>
      <c r="B127" s="11" t="s">
        <v>28</v>
      </c>
      <c r="C127" s="11" t="s">
        <v>10</v>
      </c>
      <c r="D127" s="12" t="s">
        <v>11</v>
      </c>
      <c r="E127" s="11">
        <v>4</v>
      </c>
      <c r="F127" s="11">
        <v>1340</v>
      </c>
      <c r="G127" s="11">
        <v>224</v>
      </c>
      <c r="H127" s="11">
        <v>53.14285714285711</v>
      </c>
      <c r="I127" s="11">
        <f t="shared" si="1"/>
        <v>335</v>
      </c>
    </row>
    <row r="128" spans="1:9" x14ac:dyDescent="0.3">
      <c r="A128" s="9" t="s">
        <v>8</v>
      </c>
      <c r="B128" s="9" t="s">
        <v>28</v>
      </c>
      <c r="C128" s="9" t="s">
        <v>12</v>
      </c>
      <c r="D128" s="10" t="s">
        <v>11</v>
      </c>
      <c r="E128" s="11">
        <v>28</v>
      </c>
      <c r="F128" s="11">
        <v>16800</v>
      </c>
      <c r="G128" s="11">
        <v>4228</v>
      </c>
      <c r="H128" s="11">
        <v>598.66666666666788</v>
      </c>
      <c r="I128" s="11">
        <f t="shared" si="1"/>
        <v>600</v>
      </c>
    </row>
    <row r="129" spans="1:9" x14ac:dyDescent="0.3">
      <c r="A129" s="11" t="s">
        <v>8</v>
      </c>
      <c r="B129" s="11" t="s">
        <v>28</v>
      </c>
      <c r="C129" s="11" t="s">
        <v>13</v>
      </c>
      <c r="D129" s="12" t="s">
        <v>14</v>
      </c>
      <c r="E129" s="11">
        <v>20</v>
      </c>
      <c r="F129" s="11">
        <v>7500</v>
      </c>
      <c r="G129" s="11">
        <v>3120</v>
      </c>
      <c r="H129" s="11">
        <v>208.57142857142844</v>
      </c>
      <c r="I129" s="11">
        <f t="shared" si="1"/>
        <v>375</v>
      </c>
    </row>
    <row r="130" spans="1:9" x14ac:dyDescent="0.3">
      <c r="A130" s="9" t="s">
        <v>8</v>
      </c>
      <c r="B130" s="9" t="s">
        <v>28</v>
      </c>
      <c r="C130" s="9" t="s">
        <v>15</v>
      </c>
      <c r="D130" s="10" t="s">
        <v>14</v>
      </c>
      <c r="E130" s="11">
        <v>4</v>
      </c>
      <c r="F130" s="11">
        <v>660</v>
      </c>
      <c r="G130" s="11">
        <v>104</v>
      </c>
      <c r="H130" s="11">
        <v>26.476190476190482</v>
      </c>
      <c r="I130" s="11">
        <f t="shared" si="1"/>
        <v>165</v>
      </c>
    </row>
    <row r="131" spans="1:9" x14ac:dyDescent="0.3">
      <c r="A131" s="11" t="s">
        <v>8</v>
      </c>
      <c r="B131" s="11" t="s">
        <v>28</v>
      </c>
      <c r="C131" s="11" t="s">
        <v>16</v>
      </c>
      <c r="D131" s="12" t="s">
        <v>17</v>
      </c>
      <c r="E131" s="11">
        <v>4</v>
      </c>
      <c r="F131" s="11">
        <v>1196</v>
      </c>
      <c r="G131" s="11">
        <v>200</v>
      </c>
      <c r="H131" s="11">
        <v>106.71428571428578</v>
      </c>
      <c r="I131" s="11">
        <f t="shared" ref="I131:I194" si="2">IFERROR((F131/E131),0)</f>
        <v>299</v>
      </c>
    </row>
    <row r="132" spans="1:9" x14ac:dyDescent="0.3">
      <c r="A132" s="9" t="s">
        <v>8</v>
      </c>
      <c r="B132" s="9" t="s">
        <v>28</v>
      </c>
      <c r="C132" s="9" t="s">
        <v>18</v>
      </c>
      <c r="D132" s="10" t="s">
        <v>17</v>
      </c>
      <c r="E132" s="11">
        <v>28</v>
      </c>
      <c r="F132" s="11">
        <v>16100</v>
      </c>
      <c r="G132" s="11">
        <v>3744</v>
      </c>
      <c r="H132" s="11">
        <v>1323.8571428571431</v>
      </c>
      <c r="I132" s="11">
        <f t="shared" si="2"/>
        <v>575</v>
      </c>
    </row>
    <row r="133" spans="1:9" x14ac:dyDescent="0.3">
      <c r="A133" s="11" t="s">
        <v>8</v>
      </c>
      <c r="B133" s="11" t="s">
        <v>28</v>
      </c>
      <c r="C133" s="11" t="s">
        <v>19</v>
      </c>
      <c r="D133" s="12" t="s">
        <v>17</v>
      </c>
      <c r="E133" s="11">
        <v>120</v>
      </c>
      <c r="F133" s="11">
        <v>138000</v>
      </c>
      <c r="G133" s="11">
        <v>36423.199999999997</v>
      </c>
      <c r="H133" s="11">
        <v>10883.228571428583</v>
      </c>
      <c r="I133" s="11">
        <f t="shared" si="2"/>
        <v>1150</v>
      </c>
    </row>
    <row r="134" spans="1:9" x14ac:dyDescent="0.3">
      <c r="A134" s="9" t="s">
        <v>8</v>
      </c>
      <c r="B134" s="9" t="s">
        <v>28</v>
      </c>
      <c r="C134" s="9" t="s">
        <v>21</v>
      </c>
      <c r="D134" s="10" t="s">
        <v>11</v>
      </c>
      <c r="E134" s="11">
        <v>208</v>
      </c>
      <c r="F134" s="11">
        <v>249600</v>
      </c>
      <c r="G134" s="11">
        <v>88076.239999999991</v>
      </c>
      <c r="H134" s="11">
        <v>7691.6076190476306</v>
      </c>
      <c r="I134" s="11">
        <f t="shared" si="2"/>
        <v>1200</v>
      </c>
    </row>
    <row r="135" spans="1:9" x14ac:dyDescent="0.3">
      <c r="A135" s="11" t="s">
        <v>8</v>
      </c>
      <c r="B135" s="11" t="s">
        <v>28</v>
      </c>
      <c r="C135" s="11" t="s">
        <v>24</v>
      </c>
      <c r="D135" s="12" t="s">
        <v>23</v>
      </c>
      <c r="E135" s="11">
        <v>24</v>
      </c>
      <c r="F135" s="11">
        <v>10800</v>
      </c>
      <c r="G135" s="11">
        <v>3624</v>
      </c>
      <c r="H135" s="11">
        <v>341.71428571428623</v>
      </c>
      <c r="I135" s="11">
        <f t="shared" si="2"/>
        <v>450</v>
      </c>
    </row>
    <row r="136" spans="1:9" x14ac:dyDescent="0.3">
      <c r="A136" s="9" t="s">
        <v>8</v>
      </c>
      <c r="B136" s="9" t="s">
        <v>28</v>
      </c>
      <c r="C136" s="9" t="s">
        <v>10</v>
      </c>
      <c r="D136" s="10" t="s">
        <v>11</v>
      </c>
      <c r="E136" s="11">
        <v>8</v>
      </c>
      <c r="F136" s="11">
        <v>2680</v>
      </c>
      <c r="G136" s="11">
        <v>554.32000000000016</v>
      </c>
      <c r="H136" s="11">
        <v>101.22285714285726</v>
      </c>
      <c r="I136" s="11">
        <f t="shared" si="2"/>
        <v>335</v>
      </c>
    </row>
    <row r="137" spans="1:9" x14ac:dyDescent="0.3">
      <c r="A137" s="11" t="s">
        <v>8</v>
      </c>
      <c r="B137" s="11" t="s">
        <v>28</v>
      </c>
      <c r="C137" s="11" t="s">
        <v>12</v>
      </c>
      <c r="D137" s="12" t="s">
        <v>11</v>
      </c>
      <c r="E137" s="11">
        <v>32</v>
      </c>
      <c r="F137" s="11">
        <v>19200</v>
      </c>
      <c r="G137" s="11">
        <v>4832</v>
      </c>
      <c r="H137" s="11">
        <v>684.19047619047706</v>
      </c>
      <c r="I137" s="11">
        <f t="shared" si="2"/>
        <v>600</v>
      </c>
    </row>
    <row r="138" spans="1:9" x14ac:dyDescent="0.3">
      <c r="A138" s="9" t="s">
        <v>8</v>
      </c>
      <c r="B138" s="9" t="s">
        <v>28</v>
      </c>
      <c r="C138" s="9" t="s">
        <v>13</v>
      </c>
      <c r="D138" s="10" t="s">
        <v>14</v>
      </c>
      <c r="E138" s="11">
        <v>12</v>
      </c>
      <c r="F138" s="11">
        <v>4500</v>
      </c>
      <c r="G138" s="11">
        <v>1872</v>
      </c>
      <c r="H138" s="11">
        <v>125.14285714285734</v>
      </c>
      <c r="I138" s="11">
        <f t="shared" si="2"/>
        <v>375</v>
      </c>
    </row>
    <row r="139" spans="1:9" x14ac:dyDescent="0.3">
      <c r="A139" s="11" t="s">
        <v>8</v>
      </c>
      <c r="B139" s="11" t="s">
        <v>28</v>
      </c>
      <c r="C139" s="11" t="s">
        <v>18</v>
      </c>
      <c r="D139" s="12" t="s">
        <v>17</v>
      </c>
      <c r="E139" s="11">
        <v>36</v>
      </c>
      <c r="F139" s="11">
        <v>20700</v>
      </c>
      <c r="G139" s="11">
        <v>4536</v>
      </c>
      <c r="H139" s="11">
        <v>1731.8571428571449</v>
      </c>
      <c r="I139" s="11">
        <f t="shared" si="2"/>
        <v>575</v>
      </c>
    </row>
    <row r="140" spans="1:9" x14ac:dyDescent="0.3">
      <c r="A140" s="9" t="s">
        <v>8</v>
      </c>
      <c r="B140" s="9" t="s">
        <v>28</v>
      </c>
      <c r="C140" s="9" t="s">
        <v>19</v>
      </c>
      <c r="D140" s="10" t="s">
        <v>17</v>
      </c>
      <c r="E140" s="11">
        <v>116</v>
      </c>
      <c r="F140" s="11">
        <v>133400</v>
      </c>
      <c r="G140" s="11">
        <v>35219.200000000012</v>
      </c>
      <c r="H140" s="11">
        <v>10519.371428571438</v>
      </c>
      <c r="I140" s="11">
        <f t="shared" si="2"/>
        <v>1150</v>
      </c>
    </row>
    <row r="141" spans="1:9" x14ac:dyDescent="0.3">
      <c r="A141" s="11" t="s">
        <v>8</v>
      </c>
      <c r="B141" s="11" t="s">
        <v>28</v>
      </c>
      <c r="C141" s="11" t="s">
        <v>20</v>
      </c>
      <c r="D141" s="12" t="s">
        <v>14</v>
      </c>
      <c r="E141" s="11">
        <v>8</v>
      </c>
      <c r="F141" s="11">
        <v>6000</v>
      </c>
      <c r="G141" s="11">
        <v>2808</v>
      </c>
      <c r="H141" s="11">
        <v>152</v>
      </c>
      <c r="I141" s="11">
        <f t="shared" si="2"/>
        <v>750</v>
      </c>
    </row>
    <row r="142" spans="1:9" x14ac:dyDescent="0.3">
      <c r="A142" s="9" t="s">
        <v>8</v>
      </c>
      <c r="B142" s="9" t="s">
        <v>28</v>
      </c>
      <c r="C142" s="9" t="s">
        <v>21</v>
      </c>
      <c r="D142" s="10" t="s">
        <v>11</v>
      </c>
      <c r="E142" s="11">
        <v>272</v>
      </c>
      <c r="F142" s="11">
        <v>326400</v>
      </c>
      <c r="G142" s="11">
        <v>95957.16</v>
      </c>
      <c r="H142" s="11">
        <v>10973.468571428588</v>
      </c>
      <c r="I142" s="11">
        <f t="shared" si="2"/>
        <v>1200</v>
      </c>
    </row>
    <row r="143" spans="1:9" x14ac:dyDescent="0.3">
      <c r="A143" s="11" t="s">
        <v>8</v>
      </c>
      <c r="B143" s="11" t="s">
        <v>28</v>
      </c>
      <c r="C143" s="11" t="s">
        <v>24</v>
      </c>
      <c r="D143" s="12" t="s">
        <v>23</v>
      </c>
      <c r="E143" s="11">
        <v>44</v>
      </c>
      <c r="F143" s="11">
        <v>19800</v>
      </c>
      <c r="G143" s="11">
        <v>6700.9599999999991</v>
      </c>
      <c r="H143" s="11">
        <v>623.76380952381078</v>
      </c>
      <c r="I143" s="11">
        <f t="shared" si="2"/>
        <v>450</v>
      </c>
    </row>
    <row r="144" spans="1:9" x14ac:dyDescent="0.3">
      <c r="A144" s="9" t="s">
        <v>8</v>
      </c>
      <c r="B144" s="9" t="s">
        <v>28</v>
      </c>
      <c r="C144" s="9" t="s">
        <v>25</v>
      </c>
      <c r="D144" s="10" t="s">
        <v>23</v>
      </c>
      <c r="E144" s="11">
        <v>8</v>
      </c>
      <c r="F144" s="11">
        <v>7200</v>
      </c>
      <c r="G144" s="11">
        <v>3608</v>
      </c>
      <c r="H144" s="11">
        <v>547.93220338983019</v>
      </c>
      <c r="I144" s="11">
        <f t="shared" si="2"/>
        <v>900</v>
      </c>
    </row>
    <row r="145" spans="1:9" x14ac:dyDescent="0.3">
      <c r="A145" s="11" t="s">
        <v>8</v>
      </c>
      <c r="B145" s="11" t="s">
        <v>28</v>
      </c>
      <c r="C145" s="11" t="s">
        <v>12</v>
      </c>
      <c r="D145" s="12" t="s">
        <v>11</v>
      </c>
      <c r="E145" s="11">
        <v>40</v>
      </c>
      <c r="F145" s="11">
        <v>24000</v>
      </c>
      <c r="G145" s="11">
        <v>6211.0400000000009</v>
      </c>
      <c r="H145" s="11">
        <v>847.09333333333416</v>
      </c>
      <c r="I145" s="11">
        <f t="shared" si="2"/>
        <v>600</v>
      </c>
    </row>
    <row r="146" spans="1:9" x14ac:dyDescent="0.3">
      <c r="A146" s="9" t="s">
        <v>8</v>
      </c>
      <c r="B146" s="9" t="s">
        <v>28</v>
      </c>
      <c r="C146" s="9" t="s">
        <v>13</v>
      </c>
      <c r="D146" s="10" t="s">
        <v>14</v>
      </c>
      <c r="E146" s="11">
        <v>8</v>
      </c>
      <c r="F146" s="11">
        <v>3000</v>
      </c>
      <c r="G146" s="11">
        <v>1248</v>
      </c>
      <c r="H146" s="11">
        <v>83.428571428571558</v>
      </c>
      <c r="I146" s="11">
        <f t="shared" si="2"/>
        <v>375</v>
      </c>
    </row>
    <row r="147" spans="1:9" x14ac:dyDescent="0.3">
      <c r="A147" s="11" t="s">
        <v>8</v>
      </c>
      <c r="B147" s="11" t="s">
        <v>28</v>
      </c>
      <c r="C147" s="11" t="s">
        <v>16</v>
      </c>
      <c r="D147" s="12" t="s">
        <v>17</v>
      </c>
      <c r="E147" s="11">
        <v>4</v>
      </c>
      <c r="F147" s="11">
        <v>1196</v>
      </c>
      <c r="G147" s="11">
        <v>200</v>
      </c>
      <c r="H147" s="11">
        <v>106.71428571428578</v>
      </c>
      <c r="I147" s="11">
        <f t="shared" si="2"/>
        <v>299</v>
      </c>
    </row>
    <row r="148" spans="1:9" x14ac:dyDescent="0.3">
      <c r="A148" s="9" t="s">
        <v>8</v>
      </c>
      <c r="B148" s="9" t="s">
        <v>28</v>
      </c>
      <c r="C148" s="9" t="s">
        <v>18</v>
      </c>
      <c r="D148" s="10" t="s">
        <v>17</v>
      </c>
      <c r="E148" s="11">
        <v>36</v>
      </c>
      <c r="F148" s="11">
        <v>20700</v>
      </c>
      <c r="G148" s="11">
        <v>4752</v>
      </c>
      <c r="H148" s="11">
        <v>1708.7142857142862</v>
      </c>
      <c r="I148" s="11">
        <f t="shared" si="2"/>
        <v>575</v>
      </c>
    </row>
    <row r="149" spans="1:9" x14ac:dyDescent="0.3">
      <c r="A149" s="11" t="s">
        <v>8</v>
      </c>
      <c r="B149" s="11" t="s">
        <v>28</v>
      </c>
      <c r="C149" s="11" t="s">
        <v>19</v>
      </c>
      <c r="D149" s="12" t="s">
        <v>17</v>
      </c>
      <c r="E149" s="11">
        <v>112</v>
      </c>
      <c r="F149" s="11">
        <v>128800</v>
      </c>
      <c r="G149" s="11">
        <v>34166.799999999988</v>
      </c>
      <c r="H149" s="11">
        <v>10139.271428571432</v>
      </c>
      <c r="I149" s="11">
        <f t="shared" si="2"/>
        <v>1150</v>
      </c>
    </row>
    <row r="150" spans="1:9" x14ac:dyDescent="0.3">
      <c r="A150" s="9" t="s">
        <v>8</v>
      </c>
      <c r="B150" s="9" t="s">
        <v>28</v>
      </c>
      <c r="C150" s="9" t="s">
        <v>20</v>
      </c>
      <c r="D150" s="10" t="s">
        <v>14</v>
      </c>
      <c r="E150" s="11">
        <v>4</v>
      </c>
      <c r="F150" s="11">
        <v>3000</v>
      </c>
      <c r="G150" s="11">
        <v>1404</v>
      </c>
      <c r="H150" s="11">
        <v>76</v>
      </c>
      <c r="I150" s="11">
        <f t="shared" si="2"/>
        <v>750</v>
      </c>
    </row>
    <row r="151" spans="1:9" x14ac:dyDescent="0.3">
      <c r="A151" s="11" t="s">
        <v>8</v>
      </c>
      <c r="B151" s="11" t="s">
        <v>28</v>
      </c>
      <c r="C151" s="11" t="s">
        <v>21</v>
      </c>
      <c r="D151" s="12" t="s">
        <v>11</v>
      </c>
      <c r="E151" s="11">
        <v>148</v>
      </c>
      <c r="F151" s="11">
        <v>177600</v>
      </c>
      <c r="G151" s="11">
        <v>52271.44</v>
      </c>
      <c r="H151" s="11">
        <v>5968.0266666666721</v>
      </c>
      <c r="I151" s="11">
        <f t="shared" si="2"/>
        <v>1200</v>
      </c>
    </row>
    <row r="152" spans="1:9" x14ac:dyDescent="0.3">
      <c r="A152" s="9" t="s">
        <v>8</v>
      </c>
      <c r="B152" s="9" t="s">
        <v>28</v>
      </c>
      <c r="C152" s="9" t="s">
        <v>24</v>
      </c>
      <c r="D152" s="10" t="s">
        <v>23</v>
      </c>
      <c r="E152" s="11">
        <v>36</v>
      </c>
      <c r="F152" s="11">
        <v>16200</v>
      </c>
      <c r="G152" s="11">
        <v>5436</v>
      </c>
      <c r="H152" s="11">
        <v>512.57142857142935</v>
      </c>
      <c r="I152" s="11">
        <f t="shared" si="2"/>
        <v>450</v>
      </c>
    </row>
    <row r="153" spans="1:9" x14ac:dyDescent="0.3">
      <c r="A153" s="11" t="s">
        <v>8</v>
      </c>
      <c r="B153" s="11" t="s">
        <v>28</v>
      </c>
      <c r="C153" s="11" t="s">
        <v>10</v>
      </c>
      <c r="D153" s="12" t="s">
        <v>11</v>
      </c>
      <c r="E153" s="11">
        <v>4</v>
      </c>
      <c r="F153" s="11">
        <v>1340</v>
      </c>
      <c r="G153" s="11">
        <v>224</v>
      </c>
      <c r="H153" s="11">
        <v>53.14285714285711</v>
      </c>
      <c r="I153" s="11">
        <f t="shared" si="2"/>
        <v>335</v>
      </c>
    </row>
    <row r="154" spans="1:9" x14ac:dyDescent="0.3">
      <c r="A154" s="9" t="s">
        <v>8</v>
      </c>
      <c r="B154" s="9" t="s">
        <v>28</v>
      </c>
      <c r="C154" s="9" t="s">
        <v>12</v>
      </c>
      <c r="D154" s="10" t="s">
        <v>11</v>
      </c>
      <c r="E154" s="11">
        <v>24</v>
      </c>
      <c r="F154" s="11">
        <v>14400</v>
      </c>
      <c r="G154" s="11">
        <v>3624</v>
      </c>
      <c r="H154" s="11">
        <v>513.14285714285688</v>
      </c>
      <c r="I154" s="11">
        <f t="shared" si="2"/>
        <v>600</v>
      </c>
    </row>
    <row r="155" spans="1:9" x14ac:dyDescent="0.3">
      <c r="A155" s="11" t="s">
        <v>8</v>
      </c>
      <c r="B155" s="11" t="s">
        <v>28</v>
      </c>
      <c r="C155" s="11" t="s">
        <v>13</v>
      </c>
      <c r="D155" s="12" t="s">
        <v>14</v>
      </c>
      <c r="E155" s="11">
        <v>24</v>
      </c>
      <c r="F155" s="11">
        <v>9000</v>
      </c>
      <c r="G155" s="11">
        <v>3824</v>
      </c>
      <c r="H155" s="11">
        <v>246.47619047619082</v>
      </c>
      <c r="I155" s="11">
        <f t="shared" si="2"/>
        <v>375</v>
      </c>
    </row>
    <row r="156" spans="1:9" x14ac:dyDescent="0.3">
      <c r="A156" s="9" t="s">
        <v>8</v>
      </c>
      <c r="B156" s="9" t="s">
        <v>28</v>
      </c>
      <c r="C156" s="9" t="s">
        <v>16</v>
      </c>
      <c r="D156" s="10" t="s">
        <v>17</v>
      </c>
      <c r="E156" s="11">
        <v>4</v>
      </c>
      <c r="F156" s="11">
        <v>1196</v>
      </c>
      <c r="G156" s="11">
        <v>200</v>
      </c>
      <c r="H156" s="11">
        <v>106.71428571428578</v>
      </c>
      <c r="I156" s="11">
        <f t="shared" si="2"/>
        <v>299</v>
      </c>
    </row>
    <row r="157" spans="1:9" x14ac:dyDescent="0.3">
      <c r="A157" s="11" t="s">
        <v>8</v>
      </c>
      <c r="B157" s="11" t="s">
        <v>28</v>
      </c>
      <c r="C157" s="11" t="s">
        <v>18</v>
      </c>
      <c r="D157" s="12" t="s">
        <v>17</v>
      </c>
      <c r="E157" s="11">
        <v>28</v>
      </c>
      <c r="F157" s="11">
        <v>16100</v>
      </c>
      <c r="G157" s="11">
        <v>3751</v>
      </c>
      <c r="H157" s="11">
        <v>1323.1071428571431</v>
      </c>
      <c r="I157" s="11">
        <f t="shared" si="2"/>
        <v>575</v>
      </c>
    </row>
    <row r="158" spans="1:9" x14ac:dyDescent="0.3">
      <c r="A158" s="9" t="s">
        <v>8</v>
      </c>
      <c r="B158" s="9" t="s">
        <v>28</v>
      </c>
      <c r="C158" s="9" t="s">
        <v>19</v>
      </c>
      <c r="D158" s="10" t="s">
        <v>17</v>
      </c>
      <c r="E158" s="11">
        <v>104</v>
      </c>
      <c r="F158" s="11">
        <v>119600</v>
      </c>
      <c r="G158" s="11">
        <v>33306.48000000001</v>
      </c>
      <c r="H158" s="11">
        <v>9245.7342857142939</v>
      </c>
      <c r="I158" s="11">
        <f t="shared" si="2"/>
        <v>1150</v>
      </c>
    </row>
    <row r="159" spans="1:9" x14ac:dyDescent="0.3">
      <c r="A159" s="11" t="s">
        <v>8</v>
      </c>
      <c r="B159" s="11" t="s">
        <v>28</v>
      </c>
      <c r="C159" s="11" t="s">
        <v>21</v>
      </c>
      <c r="D159" s="12" t="s">
        <v>11</v>
      </c>
      <c r="E159" s="11">
        <v>140</v>
      </c>
      <c r="F159" s="11">
        <v>168000</v>
      </c>
      <c r="G159" s="11">
        <v>49301.72</v>
      </c>
      <c r="H159" s="11">
        <v>5652.2990476190462</v>
      </c>
      <c r="I159" s="11">
        <f t="shared" si="2"/>
        <v>1200</v>
      </c>
    </row>
    <row r="160" spans="1:9" x14ac:dyDescent="0.3">
      <c r="A160" s="9" t="s">
        <v>8</v>
      </c>
      <c r="B160" s="9" t="s">
        <v>28</v>
      </c>
      <c r="C160" s="9" t="s">
        <v>24</v>
      </c>
      <c r="D160" s="10" t="s">
        <v>23</v>
      </c>
      <c r="E160" s="11">
        <v>40</v>
      </c>
      <c r="F160" s="11">
        <v>18000</v>
      </c>
      <c r="G160" s="11">
        <v>6178.0399999999991</v>
      </c>
      <c r="H160" s="11">
        <v>562.95047619047727</v>
      </c>
      <c r="I160" s="11">
        <f t="shared" si="2"/>
        <v>450</v>
      </c>
    </row>
    <row r="161" spans="1:9" x14ac:dyDescent="0.3">
      <c r="A161" s="11" t="s">
        <v>8</v>
      </c>
      <c r="B161" s="11" t="s">
        <v>28</v>
      </c>
      <c r="C161" s="11" t="s">
        <v>12</v>
      </c>
      <c r="D161" s="12" t="s">
        <v>11</v>
      </c>
      <c r="E161" s="11">
        <v>20</v>
      </c>
      <c r="F161" s="11">
        <v>12000</v>
      </c>
      <c r="G161" s="11">
        <v>3029.4799999999996</v>
      </c>
      <c r="H161" s="11">
        <v>427.16761904761916</v>
      </c>
      <c r="I161" s="11">
        <f t="shared" si="2"/>
        <v>600</v>
      </c>
    </row>
    <row r="162" spans="1:9" x14ac:dyDescent="0.3">
      <c r="A162" s="9" t="s">
        <v>8</v>
      </c>
      <c r="B162" s="9" t="s">
        <v>28</v>
      </c>
      <c r="C162" s="9" t="s">
        <v>13</v>
      </c>
      <c r="D162" s="10" t="s">
        <v>14</v>
      </c>
      <c r="E162" s="11">
        <v>36</v>
      </c>
      <c r="F162" s="11">
        <v>13500</v>
      </c>
      <c r="G162" s="11">
        <v>5673.12</v>
      </c>
      <c r="H162" s="11">
        <v>372.7085714285713</v>
      </c>
      <c r="I162" s="11">
        <f t="shared" si="2"/>
        <v>375</v>
      </c>
    </row>
    <row r="163" spans="1:9" x14ac:dyDescent="0.3">
      <c r="A163" s="11" t="s">
        <v>8</v>
      </c>
      <c r="B163" s="11" t="s">
        <v>28</v>
      </c>
      <c r="C163" s="11" t="s">
        <v>16</v>
      </c>
      <c r="D163" s="12" t="s">
        <v>17</v>
      </c>
      <c r="E163" s="11">
        <v>8</v>
      </c>
      <c r="F163" s="11">
        <v>2392</v>
      </c>
      <c r="G163" s="11">
        <v>417.84000000000015</v>
      </c>
      <c r="H163" s="11">
        <v>211.51714285714297</v>
      </c>
      <c r="I163" s="11">
        <f t="shared" si="2"/>
        <v>299</v>
      </c>
    </row>
    <row r="164" spans="1:9" x14ac:dyDescent="0.3">
      <c r="A164" s="9" t="s">
        <v>8</v>
      </c>
      <c r="B164" s="9" t="s">
        <v>28</v>
      </c>
      <c r="C164" s="9" t="s">
        <v>18</v>
      </c>
      <c r="D164" s="10" t="s">
        <v>17</v>
      </c>
      <c r="E164" s="11">
        <v>52</v>
      </c>
      <c r="F164" s="11">
        <v>29900</v>
      </c>
      <c r="G164" s="11">
        <v>7064.32</v>
      </c>
      <c r="H164" s="11">
        <v>2446.6800000000003</v>
      </c>
      <c r="I164" s="11">
        <f t="shared" si="2"/>
        <v>575</v>
      </c>
    </row>
    <row r="165" spans="1:9" x14ac:dyDescent="0.3">
      <c r="A165" s="11" t="s">
        <v>8</v>
      </c>
      <c r="B165" s="11" t="s">
        <v>28</v>
      </c>
      <c r="C165" s="11" t="s">
        <v>19</v>
      </c>
      <c r="D165" s="12" t="s">
        <v>17</v>
      </c>
      <c r="E165" s="11">
        <v>88</v>
      </c>
      <c r="F165" s="11">
        <v>101200</v>
      </c>
      <c r="G165" s="11">
        <v>26791.199999999997</v>
      </c>
      <c r="H165" s="11">
        <v>7972.3714285714377</v>
      </c>
      <c r="I165" s="11">
        <f t="shared" si="2"/>
        <v>1150</v>
      </c>
    </row>
    <row r="166" spans="1:9" x14ac:dyDescent="0.3">
      <c r="A166" s="9" t="s">
        <v>8</v>
      </c>
      <c r="B166" s="9" t="s">
        <v>28</v>
      </c>
      <c r="C166" s="9" t="s">
        <v>21</v>
      </c>
      <c r="D166" s="10" t="s">
        <v>11</v>
      </c>
      <c r="E166" s="11">
        <v>128</v>
      </c>
      <c r="F166" s="11">
        <v>153600</v>
      </c>
      <c r="G166" s="11">
        <v>45413.16</v>
      </c>
      <c r="H166" s="11">
        <v>5151.7542857142835</v>
      </c>
      <c r="I166" s="11">
        <f t="shared" si="2"/>
        <v>1200</v>
      </c>
    </row>
    <row r="167" spans="1:9" x14ac:dyDescent="0.3">
      <c r="A167" s="11" t="s">
        <v>8</v>
      </c>
      <c r="B167" s="11" t="s">
        <v>28</v>
      </c>
      <c r="C167" s="11" t="s">
        <v>22</v>
      </c>
      <c r="D167" s="12" t="s">
        <v>23</v>
      </c>
      <c r="E167" s="11">
        <v>16</v>
      </c>
      <c r="F167" s="11">
        <v>3184</v>
      </c>
      <c r="G167" s="11">
        <v>1694.4</v>
      </c>
      <c r="H167" s="11">
        <v>70.933333333333394</v>
      </c>
      <c r="I167" s="11">
        <f t="shared" si="2"/>
        <v>199</v>
      </c>
    </row>
    <row r="168" spans="1:9" x14ac:dyDescent="0.3">
      <c r="A168" s="9" t="s">
        <v>8</v>
      </c>
      <c r="B168" s="9" t="s">
        <v>28</v>
      </c>
      <c r="C168" s="9" t="s">
        <v>24</v>
      </c>
      <c r="D168" s="10" t="s">
        <v>23</v>
      </c>
      <c r="E168" s="11">
        <v>76</v>
      </c>
      <c r="F168" s="11">
        <v>34200</v>
      </c>
      <c r="G168" s="11">
        <v>11761.120000000003</v>
      </c>
      <c r="H168" s="11">
        <v>1068.5180952380942</v>
      </c>
      <c r="I168" s="11">
        <f t="shared" si="2"/>
        <v>450</v>
      </c>
    </row>
    <row r="169" spans="1:9" x14ac:dyDescent="0.3">
      <c r="A169" s="11" t="s">
        <v>8</v>
      </c>
      <c r="B169" s="11" t="s">
        <v>28</v>
      </c>
      <c r="C169" s="11" t="s">
        <v>25</v>
      </c>
      <c r="D169" s="12" t="s">
        <v>23</v>
      </c>
      <c r="E169" s="11">
        <v>8</v>
      </c>
      <c r="F169" s="11">
        <v>7200</v>
      </c>
      <c r="G169" s="11">
        <v>3627.04</v>
      </c>
      <c r="H169" s="11">
        <v>545.02779661016939</v>
      </c>
      <c r="I169" s="11">
        <f t="shared" si="2"/>
        <v>900</v>
      </c>
    </row>
    <row r="170" spans="1:9" x14ac:dyDescent="0.3">
      <c r="A170" s="9" t="s">
        <v>8</v>
      </c>
      <c r="B170" s="9" t="s">
        <v>28</v>
      </c>
      <c r="C170" s="9" t="s">
        <v>12</v>
      </c>
      <c r="D170" s="10" t="s">
        <v>11</v>
      </c>
      <c r="E170" s="11">
        <v>12</v>
      </c>
      <c r="F170" s="11">
        <v>7200</v>
      </c>
      <c r="G170" s="11">
        <v>1840.2399999999998</v>
      </c>
      <c r="H170" s="11">
        <v>255.22666666666646</v>
      </c>
      <c r="I170" s="11">
        <f t="shared" si="2"/>
        <v>600</v>
      </c>
    </row>
    <row r="171" spans="1:9" x14ac:dyDescent="0.3">
      <c r="A171" s="11" t="s">
        <v>8</v>
      </c>
      <c r="B171" s="11" t="s">
        <v>28</v>
      </c>
      <c r="C171" s="11" t="s">
        <v>13</v>
      </c>
      <c r="D171" s="12" t="s">
        <v>14</v>
      </c>
      <c r="E171" s="11">
        <v>24</v>
      </c>
      <c r="F171" s="11">
        <v>9000</v>
      </c>
      <c r="G171" s="11">
        <v>3801.12</v>
      </c>
      <c r="H171" s="11">
        <v>247.56571428571442</v>
      </c>
      <c r="I171" s="11">
        <f t="shared" si="2"/>
        <v>375</v>
      </c>
    </row>
    <row r="172" spans="1:9" x14ac:dyDescent="0.3">
      <c r="A172" s="9" t="s">
        <v>8</v>
      </c>
      <c r="B172" s="9" t="s">
        <v>28</v>
      </c>
      <c r="C172" s="9" t="s">
        <v>15</v>
      </c>
      <c r="D172" s="10" t="s">
        <v>14</v>
      </c>
      <c r="E172" s="11">
        <v>4</v>
      </c>
      <c r="F172" s="11">
        <v>660</v>
      </c>
      <c r="G172" s="11">
        <v>301.72000000000003</v>
      </c>
      <c r="H172" s="11">
        <v>17.060952380952415</v>
      </c>
      <c r="I172" s="11">
        <f t="shared" si="2"/>
        <v>165</v>
      </c>
    </row>
    <row r="173" spans="1:9" x14ac:dyDescent="0.3">
      <c r="A173" s="11" t="s">
        <v>8</v>
      </c>
      <c r="B173" s="11" t="s">
        <v>28</v>
      </c>
      <c r="C173" s="11" t="s">
        <v>16</v>
      </c>
      <c r="D173" s="12" t="s">
        <v>17</v>
      </c>
      <c r="E173" s="11">
        <v>12</v>
      </c>
      <c r="F173" s="11">
        <v>3588</v>
      </c>
      <c r="G173" s="11">
        <v>500.84000000000015</v>
      </c>
      <c r="H173" s="11">
        <v>330.76714285714297</v>
      </c>
      <c r="I173" s="11">
        <f t="shared" si="2"/>
        <v>299</v>
      </c>
    </row>
    <row r="174" spans="1:9" x14ac:dyDescent="0.3">
      <c r="A174" s="9" t="s">
        <v>8</v>
      </c>
      <c r="B174" s="9" t="s">
        <v>28</v>
      </c>
      <c r="C174" s="9" t="s">
        <v>18</v>
      </c>
      <c r="D174" s="10" t="s">
        <v>17</v>
      </c>
      <c r="E174" s="11">
        <v>16</v>
      </c>
      <c r="F174" s="11">
        <v>9200</v>
      </c>
      <c r="G174" s="11">
        <v>2033.8400000000001</v>
      </c>
      <c r="H174" s="11">
        <v>767.80285714285765</v>
      </c>
      <c r="I174" s="11">
        <f t="shared" si="2"/>
        <v>575</v>
      </c>
    </row>
    <row r="175" spans="1:9" x14ac:dyDescent="0.3">
      <c r="A175" s="11" t="s">
        <v>8</v>
      </c>
      <c r="B175" s="11" t="s">
        <v>28</v>
      </c>
      <c r="C175" s="11" t="s">
        <v>19</v>
      </c>
      <c r="D175" s="12" t="s">
        <v>17</v>
      </c>
      <c r="E175" s="11">
        <v>452</v>
      </c>
      <c r="F175" s="11">
        <v>519800</v>
      </c>
      <c r="G175" s="11">
        <v>440643.6</v>
      </c>
      <c r="H175" s="11">
        <v>8481.0428571428638</v>
      </c>
      <c r="I175" s="11">
        <f t="shared" si="2"/>
        <v>1150</v>
      </c>
    </row>
    <row r="176" spans="1:9" x14ac:dyDescent="0.3">
      <c r="A176" s="9" t="s">
        <v>8</v>
      </c>
      <c r="B176" s="9" t="s">
        <v>28</v>
      </c>
      <c r="C176" s="9" t="s">
        <v>21</v>
      </c>
      <c r="D176" s="10" t="s">
        <v>11</v>
      </c>
      <c r="E176" s="11">
        <v>100</v>
      </c>
      <c r="F176" s="11">
        <v>120000</v>
      </c>
      <c r="G176" s="11">
        <v>34700</v>
      </c>
      <c r="H176" s="11">
        <v>4061.9047619047633</v>
      </c>
      <c r="I176" s="11">
        <f t="shared" si="2"/>
        <v>1200</v>
      </c>
    </row>
    <row r="177" spans="1:9" x14ac:dyDescent="0.3">
      <c r="A177" s="11" t="s">
        <v>8</v>
      </c>
      <c r="B177" s="11" t="s">
        <v>28</v>
      </c>
      <c r="C177" s="11" t="s">
        <v>22</v>
      </c>
      <c r="D177" s="12" t="s">
        <v>23</v>
      </c>
      <c r="E177" s="11">
        <v>8</v>
      </c>
      <c r="F177" s="11">
        <v>1592</v>
      </c>
      <c r="G177" s="11">
        <v>400</v>
      </c>
      <c r="H177" s="11">
        <v>56.761904761904816</v>
      </c>
      <c r="I177" s="11">
        <f t="shared" si="2"/>
        <v>199</v>
      </c>
    </row>
    <row r="178" spans="1:9" x14ac:dyDescent="0.3">
      <c r="A178" s="9" t="s">
        <v>8</v>
      </c>
      <c r="B178" s="9" t="s">
        <v>28</v>
      </c>
      <c r="C178" s="9" t="s">
        <v>24</v>
      </c>
      <c r="D178" s="10" t="s">
        <v>23</v>
      </c>
      <c r="E178" s="11">
        <v>48</v>
      </c>
      <c r="F178" s="11">
        <v>21600</v>
      </c>
      <c r="G178" s="11">
        <v>7247.6000000000022</v>
      </c>
      <c r="H178" s="11">
        <v>683.44761904761981</v>
      </c>
      <c r="I178" s="11">
        <f t="shared" si="2"/>
        <v>450</v>
      </c>
    </row>
    <row r="179" spans="1:9" x14ac:dyDescent="0.3">
      <c r="A179" s="11" t="s">
        <v>8</v>
      </c>
      <c r="B179" s="11" t="s">
        <v>28</v>
      </c>
      <c r="C179" s="11" t="s">
        <v>26</v>
      </c>
      <c r="D179" s="12" t="s">
        <v>27</v>
      </c>
      <c r="E179" s="11">
        <v>4</v>
      </c>
      <c r="F179" s="11">
        <v>9400</v>
      </c>
      <c r="G179" s="11">
        <v>2604</v>
      </c>
      <c r="H179" s="11">
        <v>728.14285714285779</v>
      </c>
      <c r="I179" s="11">
        <f t="shared" si="2"/>
        <v>2350</v>
      </c>
    </row>
    <row r="180" spans="1:9" x14ac:dyDescent="0.3">
      <c r="A180" s="9" t="s">
        <v>8</v>
      </c>
      <c r="B180" s="9" t="s">
        <v>28</v>
      </c>
      <c r="C180" s="9" t="s">
        <v>12</v>
      </c>
      <c r="D180" s="10" t="s">
        <v>11</v>
      </c>
      <c r="E180" s="11">
        <v>28</v>
      </c>
      <c r="F180" s="11">
        <v>16800</v>
      </c>
      <c r="G180" s="11">
        <v>4896.5200000000004</v>
      </c>
      <c r="H180" s="11">
        <v>566.83238095238084</v>
      </c>
      <c r="I180" s="11">
        <f t="shared" si="2"/>
        <v>600</v>
      </c>
    </row>
    <row r="181" spans="1:9" x14ac:dyDescent="0.3">
      <c r="A181" s="11" t="s">
        <v>8</v>
      </c>
      <c r="B181" s="11" t="s">
        <v>28</v>
      </c>
      <c r="C181" s="11" t="s">
        <v>13</v>
      </c>
      <c r="D181" s="12" t="s">
        <v>14</v>
      </c>
      <c r="E181" s="11">
        <v>20</v>
      </c>
      <c r="F181" s="11">
        <v>7500</v>
      </c>
      <c r="G181" s="11">
        <v>3522.76</v>
      </c>
      <c r="H181" s="11">
        <v>189.39238095238125</v>
      </c>
      <c r="I181" s="11">
        <f t="shared" si="2"/>
        <v>375</v>
      </c>
    </row>
    <row r="182" spans="1:9" x14ac:dyDescent="0.3">
      <c r="A182" s="9" t="s">
        <v>8</v>
      </c>
      <c r="B182" s="9" t="s">
        <v>28</v>
      </c>
      <c r="C182" s="9" t="s">
        <v>15</v>
      </c>
      <c r="D182" s="10" t="s">
        <v>14</v>
      </c>
      <c r="E182" s="11">
        <v>4</v>
      </c>
      <c r="F182" s="11">
        <v>660</v>
      </c>
      <c r="G182" s="11">
        <v>144</v>
      </c>
      <c r="H182" s="11">
        <v>24.571428571428612</v>
      </c>
      <c r="I182" s="11">
        <f t="shared" si="2"/>
        <v>165</v>
      </c>
    </row>
    <row r="183" spans="1:9" x14ac:dyDescent="0.3">
      <c r="A183" s="11" t="s">
        <v>8</v>
      </c>
      <c r="B183" s="11" t="s">
        <v>28</v>
      </c>
      <c r="C183" s="11" t="s">
        <v>18</v>
      </c>
      <c r="D183" s="12" t="s">
        <v>17</v>
      </c>
      <c r="E183" s="11">
        <v>48</v>
      </c>
      <c r="F183" s="11">
        <v>27600</v>
      </c>
      <c r="G183" s="11">
        <v>8020.0800000000017</v>
      </c>
      <c r="H183" s="11">
        <v>2097.8485714285744</v>
      </c>
      <c r="I183" s="11">
        <f t="shared" si="2"/>
        <v>575</v>
      </c>
    </row>
    <row r="184" spans="1:9" x14ac:dyDescent="0.3">
      <c r="A184" s="9" t="s">
        <v>8</v>
      </c>
      <c r="B184" s="9" t="s">
        <v>28</v>
      </c>
      <c r="C184" s="9" t="s">
        <v>19</v>
      </c>
      <c r="D184" s="10" t="s">
        <v>17</v>
      </c>
      <c r="E184" s="11">
        <v>396</v>
      </c>
      <c r="F184" s="11">
        <v>455400</v>
      </c>
      <c r="G184" s="11">
        <v>338755.5199999999</v>
      </c>
      <c r="H184" s="11">
        <v>12497.62285714288</v>
      </c>
      <c r="I184" s="11">
        <f t="shared" si="2"/>
        <v>1150</v>
      </c>
    </row>
    <row r="185" spans="1:9" x14ac:dyDescent="0.3">
      <c r="A185" s="11" t="s">
        <v>8</v>
      </c>
      <c r="B185" s="11" t="s">
        <v>28</v>
      </c>
      <c r="C185" s="11" t="s">
        <v>20</v>
      </c>
      <c r="D185" s="12" t="s">
        <v>14</v>
      </c>
      <c r="E185" s="11">
        <v>20</v>
      </c>
      <c r="F185" s="11">
        <v>15000</v>
      </c>
      <c r="G185" s="11">
        <v>9229.119999999999</v>
      </c>
      <c r="H185" s="11">
        <v>274.80380952380983</v>
      </c>
      <c r="I185" s="11">
        <f t="shared" si="2"/>
        <v>750</v>
      </c>
    </row>
    <row r="186" spans="1:9" x14ac:dyDescent="0.3">
      <c r="A186" s="9" t="s">
        <v>8</v>
      </c>
      <c r="B186" s="9" t="s">
        <v>28</v>
      </c>
      <c r="C186" s="9" t="s">
        <v>21</v>
      </c>
      <c r="D186" s="10" t="s">
        <v>11</v>
      </c>
      <c r="E186" s="11">
        <v>620</v>
      </c>
      <c r="F186" s="11">
        <v>744000</v>
      </c>
      <c r="G186" s="11">
        <v>321790.52000000025</v>
      </c>
      <c r="H186" s="11">
        <v>20105.213333333319</v>
      </c>
      <c r="I186" s="11">
        <f t="shared" si="2"/>
        <v>1200</v>
      </c>
    </row>
    <row r="187" spans="1:9" x14ac:dyDescent="0.3">
      <c r="A187" s="11" t="s">
        <v>8</v>
      </c>
      <c r="B187" s="11" t="s">
        <v>28</v>
      </c>
      <c r="C187" s="11" t="s">
        <v>22</v>
      </c>
      <c r="D187" s="12" t="s">
        <v>23</v>
      </c>
      <c r="E187" s="11">
        <v>12</v>
      </c>
      <c r="F187" s="11">
        <v>2388</v>
      </c>
      <c r="G187" s="11">
        <v>848.40000000000009</v>
      </c>
      <c r="H187" s="11">
        <v>73.314285714285688</v>
      </c>
      <c r="I187" s="11">
        <f t="shared" si="2"/>
        <v>199</v>
      </c>
    </row>
    <row r="188" spans="1:9" x14ac:dyDescent="0.3">
      <c r="A188" s="9" t="s">
        <v>8</v>
      </c>
      <c r="B188" s="9" t="s">
        <v>28</v>
      </c>
      <c r="C188" s="9" t="s">
        <v>24</v>
      </c>
      <c r="D188" s="10" t="s">
        <v>23</v>
      </c>
      <c r="E188" s="11">
        <v>60</v>
      </c>
      <c r="F188" s="11">
        <v>27000</v>
      </c>
      <c r="G188" s="11">
        <v>9733.5200000000041</v>
      </c>
      <c r="H188" s="11">
        <v>822.21333333333314</v>
      </c>
      <c r="I188" s="11">
        <f t="shared" si="2"/>
        <v>450</v>
      </c>
    </row>
    <row r="189" spans="1:9" x14ac:dyDescent="0.3">
      <c r="A189" s="11" t="s">
        <v>8</v>
      </c>
      <c r="B189" s="11" t="s">
        <v>28</v>
      </c>
      <c r="C189" s="11" t="s">
        <v>10</v>
      </c>
      <c r="D189" s="12" t="s">
        <v>11</v>
      </c>
      <c r="E189" s="11">
        <v>16</v>
      </c>
      <c r="F189" s="11">
        <v>5360</v>
      </c>
      <c r="G189" s="11">
        <v>2331.44</v>
      </c>
      <c r="H189" s="11">
        <v>144.21714285714279</v>
      </c>
      <c r="I189" s="11">
        <f t="shared" si="2"/>
        <v>335</v>
      </c>
    </row>
    <row r="190" spans="1:9" x14ac:dyDescent="0.3">
      <c r="A190" s="9" t="s">
        <v>8</v>
      </c>
      <c r="B190" s="9" t="s">
        <v>28</v>
      </c>
      <c r="C190" s="9" t="s">
        <v>12</v>
      </c>
      <c r="D190" s="10" t="s">
        <v>11</v>
      </c>
      <c r="E190" s="11">
        <v>92</v>
      </c>
      <c r="F190" s="11">
        <v>55200</v>
      </c>
      <c r="G190" s="11">
        <v>21487.640000000007</v>
      </c>
      <c r="H190" s="11">
        <v>1605.3504761904769</v>
      </c>
      <c r="I190" s="11">
        <f t="shared" si="2"/>
        <v>600</v>
      </c>
    </row>
    <row r="191" spans="1:9" x14ac:dyDescent="0.3">
      <c r="A191" s="11" t="s">
        <v>8</v>
      </c>
      <c r="B191" s="11" t="s">
        <v>28</v>
      </c>
      <c r="C191" s="11" t="s">
        <v>13</v>
      </c>
      <c r="D191" s="12" t="s">
        <v>14</v>
      </c>
      <c r="E191" s="11">
        <v>56</v>
      </c>
      <c r="F191" s="11">
        <v>21000</v>
      </c>
      <c r="G191" s="11">
        <v>10564.960000000003</v>
      </c>
      <c r="H191" s="11">
        <v>496.90666666666766</v>
      </c>
      <c r="I191" s="11">
        <f t="shared" si="2"/>
        <v>375</v>
      </c>
    </row>
    <row r="192" spans="1:9" x14ac:dyDescent="0.3">
      <c r="A192" s="9" t="s">
        <v>8</v>
      </c>
      <c r="B192" s="9" t="s">
        <v>28</v>
      </c>
      <c r="C192" s="9" t="s">
        <v>18</v>
      </c>
      <c r="D192" s="10" t="s">
        <v>17</v>
      </c>
      <c r="E192" s="11">
        <v>116</v>
      </c>
      <c r="F192" s="11">
        <v>66700</v>
      </c>
      <c r="G192" s="11">
        <v>24260.92</v>
      </c>
      <c r="H192" s="11">
        <v>4547.0442857142916</v>
      </c>
      <c r="I192" s="11">
        <f t="shared" si="2"/>
        <v>575</v>
      </c>
    </row>
    <row r="193" spans="1:9" x14ac:dyDescent="0.3">
      <c r="A193" s="11" t="s">
        <v>8</v>
      </c>
      <c r="B193" s="11" t="s">
        <v>28</v>
      </c>
      <c r="C193" s="11" t="s">
        <v>19</v>
      </c>
      <c r="D193" s="12" t="s">
        <v>17</v>
      </c>
      <c r="E193" s="11">
        <v>1096</v>
      </c>
      <c r="F193" s="11">
        <v>1260400</v>
      </c>
      <c r="G193" s="11">
        <v>509912.95999999961</v>
      </c>
      <c r="H193" s="11">
        <v>80409.325714285835</v>
      </c>
      <c r="I193" s="11">
        <f t="shared" si="2"/>
        <v>1150</v>
      </c>
    </row>
    <row r="194" spans="1:9" x14ac:dyDescent="0.3">
      <c r="A194" s="9" t="s">
        <v>8</v>
      </c>
      <c r="B194" s="9" t="s">
        <v>28</v>
      </c>
      <c r="C194" s="9" t="s">
        <v>20</v>
      </c>
      <c r="D194" s="10" t="s">
        <v>14</v>
      </c>
      <c r="E194" s="11">
        <v>84</v>
      </c>
      <c r="F194" s="11">
        <v>63000</v>
      </c>
      <c r="G194" s="11">
        <v>38427.240000000005</v>
      </c>
      <c r="H194" s="11">
        <v>1170.1314285714288</v>
      </c>
      <c r="I194" s="11">
        <f t="shared" si="2"/>
        <v>750</v>
      </c>
    </row>
    <row r="195" spans="1:9" x14ac:dyDescent="0.3">
      <c r="A195" s="11" t="s">
        <v>8</v>
      </c>
      <c r="B195" s="11" t="s">
        <v>28</v>
      </c>
      <c r="C195" s="11" t="s">
        <v>21</v>
      </c>
      <c r="D195" s="12" t="s">
        <v>11</v>
      </c>
      <c r="E195" s="11">
        <v>3392</v>
      </c>
      <c r="F195" s="11">
        <v>4070400</v>
      </c>
      <c r="G195" s="11">
        <v>1836474.5199999809</v>
      </c>
      <c r="H195" s="11">
        <v>106377.40380952461</v>
      </c>
      <c r="I195" s="11">
        <f t="shared" ref="I195:I258" si="3">IFERROR((F195/E195),0)</f>
        <v>1200</v>
      </c>
    </row>
    <row r="196" spans="1:9" x14ac:dyDescent="0.3">
      <c r="A196" s="9" t="s">
        <v>8</v>
      </c>
      <c r="B196" s="9" t="s">
        <v>28</v>
      </c>
      <c r="C196" s="9" t="s">
        <v>22</v>
      </c>
      <c r="D196" s="10" t="s">
        <v>23</v>
      </c>
      <c r="E196" s="11">
        <v>4</v>
      </c>
      <c r="F196" s="11">
        <v>796</v>
      </c>
      <c r="G196" s="11">
        <v>400</v>
      </c>
      <c r="H196" s="11">
        <v>18.85714285714289</v>
      </c>
      <c r="I196" s="11">
        <f t="shared" si="3"/>
        <v>199</v>
      </c>
    </row>
    <row r="197" spans="1:9" x14ac:dyDescent="0.3">
      <c r="A197" s="11" t="s">
        <v>8</v>
      </c>
      <c r="B197" s="11" t="s">
        <v>28</v>
      </c>
      <c r="C197" s="11" t="s">
        <v>24</v>
      </c>
      <c r="D197" s="12" t="s">
        <v>23</v>
      </c>
      <c r="E197" s="11">
        <v>264</v>
      </c>
      <c r="F197" s="11">
        <v>118800</v>
      </c>
      <c r="G197" s="11">
        <v>61853.92000000002</v>
      </c>
      <c r="H197" s="11">
        <v>2711.718095238095</v>
      </c>
      <c r="I197" s="11">
        <f t="shared" si="3"/>
        <v>450</v>
      </c>
    </row>
    <row r="198" spans="1:9" x14ac:dyDescent="0.3">
      <c r="A198" s="9" t="s">
        <v>8</v>
      </c>
      <c r="B198" s="9" t="s">
        <v>28</v>
      </c>
      <c r="C198" s="9" t="s">
        <v>25</v>
      </c>
      <c r="D198" s="10" t="s">
        <v>23</v>
      </c>
      <c r="E198" s="11">
        <v>36</v>
      </c>
      <c r="F198" s="11">
        <v>32400</v>
      </c>
      <c r="G198" s="11">
        <v>18264.320000000003</v>
      </c>
      <c r="H198" s="11">
        <v>2156.2901694915236</v>
      </c>
      <c r="I198" s="11">
        <f t="shared" si="3"/>
        <v>900</v>
      </c>
    </row>
    <row r="199" spans="1:9" x14ac:dyDescent="0.3">
      <c r="A199" s="11" t="s">
        <v>8</v>
      </c>
      <c r="B199" s="11" t="s">
        <v>28</v>
      </c>
      <c r="C199" s="11" t="s">
        <v>26</v>
      </c>
      <c r="D199" s="12" t="s">
        <v>27</v>
      </c>
      <c r="E199" s="11">
        <v>0</v>
      </c>
      <c r="F199" s="11">
        <v>0</v>
      </c>
      <c r="G199" s="11">
        <v>0</v>
      </c>
      <c r="H199" s="11">
        <v>0</v>
      </c>
      <c r="I199" s="11">
        <f t="shared" si="3"/>
        <v>0</v>
      </c>
    </row>
    <row r="200" spans="1:9" x14ac:dyDescent="0.3">
      <c r="A200" s="9" t="s">
        <v>8</v>
      </c>
      <c r="B200" s="9" t="s">
        <v>28</v>
      </c>
      <c r="C200" s="9" t="s">
        <v>10</v>
      </c>
      <c r="D200" s="10" t="s">
        <v>11</v>
      </c>
      <c r="E200" s="11">
        <v>8</v>
      </c>
      <c r="F200" s="11">
        <v>2680</v>
      </c>
      <c r="G200" s="11">
        <v>1242.08</v>
      </c>
      <c r="H200" s="11">
        <v>68.472380952380945</v>
      </c>
      <c r="I200" s="11">
        <f t="shared" si="3"/>
        <v>335</v>
      </c>
    </row>
    <row r="201" spans="1:9" x14ac:dyDescent="0.3">
      <c r="A201" s="11" t="s">
        <v>8</v>
      </c>
      <c r="B201" s="11" t="s">
        <v>28</v>
      </c>
      <c r="C201" s="11" t="s">
        <v>12</v>
      </c>
      <c r="D201" s="12" t="s">
        <v>11</v>
      </c>
      <c r="E201" s="11">
        <v>144</v>
      </c>
      <c r="F201" s="11">
        <v>86400</v>
      </c>
      <c r="G201" s="11">
        <v>35014.559999999998</v>
      </c>
      <c r="H201" s="11">
        <v>2446.9257142857168</v>
      </c>
      <c r="I201" s="11">
        <f t="shared" si="3"/>
        <v>600</v>
      </c>
    </row>
    <row r="202" spans="1:9" x14ac:dyDescent="0.3">
      <c r="A202" s="9" t="s">
        <v>8</v>
      </c>
      <c r="B202" s="9" t="s">
        <v>28</v>
      </c>
      <c r="C202" s="9" t="s">
        <v>13</v>
      </c>
      <c r="D202" s="10" t="s">
        <v>14</v>
      </c>
      <c r="E202" s="11">
        <v>104</v>
      </c>
      <c r="F202" s="11">
        <v>39000</v>
      </c>
      <c r="G202" s="11">
        <v>23765.48</v>
      </c>
      <c r="H202" s="11">
        <v>725.45333333333474</v>
      </c>
      <c r="I202" s="11">
        <f t="shared" si="3"/>
        <v>375</v>
      </c>
    </row>
    <row r="203" spans="1:9" x14ac:dyDescent="0.3">
      <c r="A203" s="11" t="s">
        <v>8</v>
      </c>
      <c r="B203" s="11" t="s">
        <v>28</v>
      </c>
      <c r="C203" s="11" t="s">
        <v>15</v>
      </c>
      <c r="D203" s="12" t="s">
        <v>14</v>
      </c>
      <c r="E203" s="11">
        <v>24</v>
      </c>
      <c r="F203" s="11">
        <v>3960</v>
      </c>
      <c r="G203" s="11">
        <v>1680.96</v>
      </c>
      <c r="H203" s="11">
        <v>108.52571428571446</v>
      </c>
      <c r="I203" s="11">
        <f t="shared" si="3"/>
        <v>165</v>
      </c>
    </row>
    <row r="204" spans="1:9" x14ac:dyDescent="0.3">
      <c r="A204" s="9" t="s">
        <v>8</v>
      </c>
      <c r="B204" s="9" t="s">
        <v>28</v>
      </c>
      <c r="C204" s="9" t="s">
        <v>16</v>
      </c>
      <c r="D204" s="10" t="s">
        <v>17</v>
      </c>
      <c r="E204" s="11">
        <v>12</v>
      </c>
      <c r="F204" s="11">
        <v>3588</v>
      </c>
      <c r="G204" s="11">
        <v>1051.6800000000039</v>
      </c>
      <c r="H204" s="11">
        <v>271.74857142857127</v>
      </c>
      <c r="I204" s="11">
        <f t="shared" si="3"/>
        <v>299</v>
      </c>
    </row>
    <row r="205" spans="1:9" x14ac:dyDescent="0.3">
      <c r="A205" s="11" t="s">
        <v>8</v>
      </c>
      <c r="B205" s="11" t="s">
        <v>28</v>
      </c>
      <c r="C205" s="11" t="s">
        <v>18</v>
      </c>
      <c r="D205" s="12" t="s">
        <v>17</v>
      </c>
      <c r="E205" s="11">
        <v>152</v>
      </c>
      <c r="F205" s="11">
        <v>87400</v>
      </c>
      <c r="G205" s="11">
        <v>31814.639999999992</v>
      </c>
      <c r="H205" s="11">
        <v>5955.5742857142905</v>
      </c>
      <c r="I205" s="11">
        <f t="shared" si="3"/>
        <v>575</v>
      </c>
    </row>
    <row r="206" spans="1:9" x14ac:dyDescent="0.3">
      <c r="A206" s="9" t="s">
        <v>8</v>
      </c>
      <c r="B206" s="9" t="s">
        <v>28</v>
      </c>
      <c r="C206" s="9" t="s">
        <v>19</v>
      </c>
      <c r="D206" s="10" t="s">
        <v>17</v>
      </c>
      <c r="E206" s="11">
        <v>520</v>
      </c>
      <c r="F206" s="11">
        <v>598000</v>
      </c>
      <c r="G206" s="11">
        <v>218376.44000000105</v>
      </c>
      <c r="H206" s="11">
        <v>40673.95285714278</v>
      </c>
      <c r="I206" s="11">
        <f t="shared" si="3"/>
        <v>1150</v>
      </c>
    </row>
    <row r="207" spans="1:9" x14ac:dyDescent="0.3">
      <c r="A207" s="11" t="s">
        <v>8</v>
      </c>
      <c r="B207" s="11" t="s">
        <v>28</v>
      </c>
      <c r="C207" s="11" t="s">
        <v>20</v>
      </c>
      <c r="D207" s="12" t="s">
        <v>14</v>
      </c>
      <c r="E207" s="11">
        <v>72</v>
      </c>
      <c r="F207" s="11">
        <v>54000</v>
      </c>
      <c r="G207" s="11">
        <v>32656.320000000007</v>
      </c>
      <c r="H207" s="11">
        <v>1016.3657142857155</v>
      </c>
      <c r="I207" s="11">
        <f t="shared" si="3"/>
        <v>750</v>
      </c>
    </row>
    <row r="208" spans="1:9" x14ac:dyDescent="0.3">
      <c r="A208" s="9" t="s">
        <v>8</v>
      </c>
      <c r="B208" s="9" t="s">
        <v>28</v>
      </c>
      <c r="C208" s="9" t="s">
        <v>21</v>
      </c>
      <c r="D208" s="10" t="s">
        <v>11</v>
      </c>
      <c r="E208" s="11">
        <v>1072</v>
      </c>
      <c r="F208" s="11">
        <v>1286400</v>
      </c>
      <c r="G208" s="11">
        <v>522749.67999999854</v>
      </c>
      <c r="H208" s="11">
        <v>36364.300952381105</v>
      </c>
      <c r="I208" s="11">
        <f t="shared" si="3"/>
        <v>1200</v>
      </c>
    </row>
    <row r="209" spans="1:9" x14ac:dyDescent="0.3">
      <c r="A209" s="11" t="s">
        <v>8</v>
      </c>
      <c r="B209" s="11" t="s">
        <v>28</v>
      </c>
      <c r="C209" s="11" t="s">
        <v>22</v>
      </c>
      <c r="D209" s="12" t="s">
        <v>23</v>
      </c>
      <c r="E209" s="11">
        <v>12</v>
      </c>
      <c r="F209" s="11">
        <v>2388</v>
      </c>
      <c r="G209" s="11">
        <v>1261</v>
      </c>
      <c r="H209" s="11">
        <v>53.666666666666742</v>
      </c>
      <c r="I209" s="11">
        <f t="shared" si="3"/>
        <v>199</v>
      </c>
    </row>
    <row r="210" spans="1:9" x14ac:dyDescent="0.3">
      <c r="A210" s="9" t="s">
        <v>8</v>
      </c>
      <c r="B210" s="9" t="s">
        <v>28</v>
      </c>
      <c r="C210" s="9" t="s">
        <v>24</v>
      </c>
      <c r="D210" s="10" t="s">
        <v>23</v>
      </c>
      <c r="E210" s="11">
        <v>196</v>
      </c>
      <c r="F210" s="11">
        <v>88200</v>
      </c>
      <c r="G210" s="11">
        <v>46768.320000000022</v>
      </c>
      <c r="H210" s="11">
        <v>1972.9371428571467</v>
      </c>
      <c r="I210" s="11">
        <f t="shared" si="3"/>
        <v>450</v>
      </c>
    </row>
    <row r="211" spans="1:9" x14ac:dyDescent="0.3">
      <c r="A211" s="11" t="s">
        <v>8</v>
      </c>
      <c r="B211" s="11" t="s">
        <v>28</v>
      </c>
      <c r="C211" s="11" t="s">
        <v>25</v>
      </c>
      <c r="D211" s="12" t="s">
        <v>23</v>
      </c>
      <c r="E211" s="11">
        <v>36</v>
      </c>
      <c r="F211" s="11">
        <v>32400</v>
      </c>
      <c r="G211" s="11">
        <v>18199</v>
      </c>
      <c r="H211" s="11">
        <v>2166.2542372881344</v>
      </c>
      <c r="I211" s="11">
        <f t="shared" si="3"/>
        <v>900</v>
      </c>
    </row>
    <row r="212" spans="1:9" x14ac:dyDescent="0.3">
      <c r="A212" s="9" t="s">
        <v>8</v>
      </c>
      <c r="B212" s="9" t="s">
        <v>28</v>
      </c>
      <c r="C212" s="9" t="s">
        <v>10</v>
      </c>
      <c r="D212" s="10" t="s">
        <v>11</v>
      </c>
      <c r="E212" s="11">
        <v>28</v>
      </c>
      <c r="F212" s="11">
        <v>9380</v>
      </c>
      <c r="G212" s="11">
        <v>4135.6000000000004</v>
      </c>
      <c r="H212" s="11">
        <v>249.73333333333358</v>
      </c>
      <c r="I212" s="11">
        <f t="shared" si="3"/>
        <v>335</v>
      </c>
    </row>
    <row r="213" spans="1:9" x14ac:dyDescent="0.3">
      <c r="A213" s="11" t="s">
        <v>8</v>
      </c>
      <c r="B213" s="11" t="s">
        <v>28</v>
      </c>
      <c r="C213" s="11" t="s">
        <v>12</v>
      </c>
      <c r="D213" s="12" t="s">
        <v>11</v>
      </c>
      <c r="E213" s="11">
        <v>248</v>
      </c>
      <c r="F213" s="11">
        <v>148800</v>
      </c>
      <c r="G213" s="11">
        <v>61205.639999999985</v>
      </c>
      <c r="H213" s="11">
        <v>4171.1600000000035</v>
      </c>
      <c r="I213" s="11">
        <f t="shared" si="3"/>
        <v>600</v>
      </c>
    </row>
    <row r="214" spans="1:9" x14ac:dyDescent="0.3">
      <c r="A214" s="9" t="s">
        <v>8</v>
      </c>
      <c r="B214" s="9" t="s">
        <v>28</v>
      </c>
      <c r="C214" s="9" t="s">
        <v>13</v>
      </c>
      <c r="D214" s="10" t="s">
        <v>14</v>
      </c>
      <c r="E214" s="11">
        <v>44</v>
      </c>
      <c r="F214" s="11">
        <v>16500</v>
      </c>
      <c r="G214" s="11">
        <v>8313.68</v>
      </c>
      <c r="H214" s="11">
        <v>389.82476190476245</v>
      </c>
      <c r="I214" s="11">
        <f t="shared" si="3"/>
        <v>375</v>
      </c>
    </row>
    <row r="215" spans="1:9" x14ac:dyDescent="0.3">
      <c r="A215" s="11" t="s">
        <v>8</v>
      </c>
      <c r="B215" s="11" t="s">
        <v>28</v>
      </c>
      <c r="C215" s="11" t="s">
        <v>15</v>
      </c>
      <c r="D215" s="12" t="s">
        <v>14</v>
      </c>
      <c r="E215" s="11">
        <v>4</v>
      </c>
      <c r="F215" s="11">
        <v>660</v>
      </c>
      <c r="G215" s="11">
        <v>304</v>
      </c>
      <c r="H215" s="11">
        <v>16.952380952380963</v>
      </c>
      <c r="I215" s="11">
        <f t="shared" si="3"/>
        <v>165</v>
      </c>
    </row>
    <row r="216" spans="1:9" x14ac:dyDescent="0.3">
      <c r="A216" s="9" t="s">
        <v>8</v>
      </c>
      <c r="B216" s="9" t="s">
        <v>28</v>
      </c>
      <c r="C216" s="9" t="s">
        <v>16</v>
      </c>
      <c r="D216" s="10" t="s">
        <v>17</v>
      </c>
      <c r="E216" s="11">
        <v>12</v>
      </c>
      <c r="F216" s="11">
        <v>3588</v>
      </c>
      <c r="G216" s="11">
        <v>1061.8400000000001</v>
      </c>
      <c r="H216" s="11">
        <v>270.66000000000031</v>
      </c>
      <c r="I216" s="11">
        <f t="shared" si="3"/>
        <v>299</v>
      </c>
    </row>
    <row r="217" spans="1:9" x14ac:dyDescent="0.3">
      <c r="A217" s="11" t="s">
        <v>8</v>
      </c>
      <c r="B217" s="11" t="s">
        <v>28</v>
      </c>
      <c r="C217" s="11" t="s">
        <v>18</v>
      </c>
      <c r="D217" s="12" t="s">
        <v>17</v>
      </c>
      <c r="E217" s="11">
        <v>296</v>
      </c>
      <c r="F217" s="11">
        <v>170200</v>
      </c>
      <c r="G217" s="11">
        <v>62335.959999999948</v>
      </c>
      <c r="H217" s="11">
        <v>11556.861428571443</v>
      </c>
      <c r="I217" s="11">
        <f t="shared" si="3"/>
        <v>575</v>
      </c>
    </row>
    <row r="218" spans="1:9" x14ac:dyDescent="0.3">
      <c r="A218" s="9" t="s">
        <v>8</v>
      </c>
      <c r="B218" s="9" t="s">
        <v>28</v>
      </c>
      <c r="C218" s="9" t="s">
        <v>19</v>
      </c>
      <c r="D218" s="10" t="s">
        <v>17</v>
      </c>
      <c r="E218" s="11">
        <v>748</v>
      </c>
      <c r="F218" s="11">
        <v>860200</v>
      </c>
      <c r="G218" s="11">
        <v>306727.96000000229</v>
      </c>
      <c r="H218" s="11">
        <v>59300.575714285544</v>
      </c>
      <c r="I218" s="11">
        <f t="shared" si="3"/>
        <v>1150</v>
      </c>
    </row>
    <row r="219" spans="1:9" x14ac:dyDescent="0.3">
      <c r="A219" s="11" t="s">
        <v>8</v>
      </c>
      <c r="B219" s="11" t="s">
        <v>28</v>
      </c>
      <c r="C219" s="11" t="s">
        <v>20</v>
      </c>
      <c r="D219" s="12" t="s">
        <v>14</v>
      </c>
      <c r="E219" s="11">
        <v>160</v>
      </c>
      <c r="F219" s="11">
        <v>120000</v>
      </c>
      <c r="G219" s="11">
        <v>73014.760000000009</v>
      </c>
      <c r="H219" s="11">
        <v>2237.392380952384</v>
      </c>
      <c r="I219" s="11">
        <f t="shared" si="3"/>
        <v>750</v>
      </c>
    </row>
    <row r="220" spans="1:9" x14ac:dyDescent="0.3">
      <c r="A220" s="9" t="s">
        <v>8</v>
      </c>
      <c r="B220" s="9" t="s">
        <v>28</v>
      </c>
      <c r="C220" s="9" t="s">
        <v>21</v>
      </c>
      <c r="D220" s="10" t="s">
        <v>11</v>
      </c>
      <c r="E220" s="11">
        <v>924</v>
      </c>
      <c r="F220" s="11">
        <v>1108800</v>
      </c>
      <c r="G220" s="11">
        <v>444657.11999999976</v>
      </c>
      <c r="H220" s="11">
        <v>31625.851428571506</v>
      </c>
      <c r="I220" s="11">
        <f t="shared" si="3"/>
        <v>1200</v>
      </c>
    </row>
    <row r="221" spans="1:9" x14ac:dyDescent="0.3">
      <c r="A221" s="11" t="s">
        <v>8</v>
      </c>
      <c r="B221" s="11" t="s">
        <v>28</v>
      </c>
      <c r="C221" s="11" t="s">
        <v>22</v>
      </c>
      <c r="D221" s="12" t="s">
        <v>23</v>
      </c>
      <c r="E221" s="11">
        <v>4</v>
      </c>
      <c r="F221" s="11">
        <v>796</v>
      </c>
      <c r="G221" s="11">
        <v>419.04</v>
      </c>
      <c r="H221" s="11">
        <v>17.950476190476195</v>
      </c>
      <c r="I221" s="11">
        <f t="shared" si="3"/>
        <v>199</v>
      </c>
    </row>
    <row r="222" spans="1:9" x14ac:dyDescent="0.3">
      <c r="A222" s="9" t="s">
        <v>8</v>
      </c>
      <c r="B222" s="9" t="s">
        <v>28</v>
      </c>
      <c r="C222" s="9" t="s">
        <v>24</v>
      </c>
      <c r="D222" s="10" t="s">
        <v>23</v>
      </c>
      <c r="E222" s="11">
        <v>184</v>
      </c>
      <c r="F222" s="11">
        <v>82800</v>
      </c>
      <c r="G222" s="11">
        <v>44120.720000000008</v>
      </c>
      <c r="H222" s="11">
        <v>1841.8704761904737</v>
      </c>
      <c r="I222" s="11">
        <f t="shared" si="3"/>
        <v>450</v>
      </c>
    </row>
    <row r="223" spans="1:9" x14ac:dyDescent="0.3">
      <c r="A223" s="11" t="s">
        <v>8</v>
      </c>
      <c r="B223" s="11" t="s">
        <v>28</v>
      </c>
      <c r="C223" s="11" t="s">
        <v>25</v>
      </c>
      <c r="D223" s="12" t="s">
        <v>23</v>
      </c>
      <c r="E223" s="11">
        <v>28</v>
      </c>
      <c r="F223" s="11">
        <v>25200</v>
      </c>
      <c r="G223" s="11">
        <v>14343.52</v>
      </c>
      <c r="H223" s="11">
        <v>1656.0732203389816</v>
      </c>
      <c r="I223" s="11">
        <f t="shared" si="3"/>
        <v>900</v>
      </c>
    </row>
    <row r="224" spans="1:9" x14ac:dyDescent="0.3">
      <c r="A224" s="9" t="s">
        <v>8</v>
      </c>
      <c r="B224" s="9" t="s">
        <v>28</v>
      </c>
      <c r="C224" s="9" t="s">
        <v>10</v>
      </c>
      <c r="D224" s="10" t="s">
        <v>11</v>
      </c>
      <c r="E224" s="11">
        <v>20</v>
      </c>
      <c r="F224" s="11">
        <v>6700</v>
      </c>
      <c r="G224" s="11">
        <v>2845.12</v>
      </c>
      <c r="H224" s="11">
        <v>183.56571428571442</v>
      </c>
      <c r="I224" s="11">
        <f t="shared" si="3"/>
        <v>335</v>
      </c>
    </row>
    <row r="225" spans="1:9" x14ac:dyDescent="0.3">
      <c r="A225" s="11" t="s">
        <v>8</v>
      </c>
      <c r="B225" s="11" t="s">
        <v>28</v>
      </c>
      <c r="C225" s="11" t="s">
        <v>12</v>
      </c>
      <c r="D225" s="12" t="s">
        <v>11</v>
      </c>
      <c r="E225" s="11">
        <v>116</v>
      </c>
      <c r="F225" s="11">
        <v>69600</v>
      </c>
      <c r="G225" s="11">
        <v>26987.480000000003</v>
      </c>
      <c r="H225" s="11">
        <v>2029.167619047621</v>
      </c>
      <c r="I225" s="11">
        <f t="shared" si="3"/>
        <v>600</v>
      </c>
    </row>
    <row r="226" spans="1:9" x14ac:dyDescent="0.3">
      <c r="A226" s="9" t="s">
        <v>8</v>
      </c>
      <c r="B226" s="9" t="s">
        <v>28</v>
      </c>
      <c r="C226" s="9" t="s">
        <v>13</v>
      </c>
      <c r="D226" s="10" t="s">
        <v>14</v>
      </c>
      <c r="E226" s="11">
        <v>880</v>
      </c>
      <c r="F226" s="11">
        <v>330000</v>
      </c>
      <c r="G226" s="11">
        <v>228675.19999999987</v>
      </c>
      <c r="H226" s="11">
        <v>4824.9904761904909</v>
      </c>
      <c r="I226" s="11">
        <f t="shared" si="3"/>
        <v>375</v>
      </c>
    </row>
    <row r="227" spans="1:9" x14ac:dyDescent="0.3">
      <c r="A227" s="11" t="s">
        <v>8</v>
      </c>
      <c r="B227" s="11" t="s">
        <v>28</v>
      </c>
      <c r="C227" s="11" t="s">
        <v>18</v>
      </c>
      <c r="D227" s="12" t="s">
        <v>17</v>
      </c>
      <c r="E227" s="11">
        <v>140</v>
      </c>
      <c r="F227" s="11">
        <v>80500</v>
      </c>
      <c r="G227" s="11">
        <v>27397.87999999999</v>
      </c>
      <c r="H227" s="11">
        <v>5689.512857142865</v>
      </c>
      <c r="I227" s="11">
        <f t="shared" si="3"/>
        <v>575</v>
      </c>
    </row>
    <row r="228" spans="1:9" x14ac:dyDescent="0.3">
      <c r="A228" s="9" t="s">
        <v>8</v>
      </c>
      <c r="B228" s="9" t="s">
        <v>28</v>
      </c>
      <c r="C228" s="9" t="s">
        <v>19</v>
      </c>
      <c r="D228" s="10" t="s">
        <v>17</v>
      </c>
      <c r="E228" s="11">
        <v>368</v>
      </c>
      <c r="F228" s="11">
        <v>423200</v>
      </c>
      <c r="G228" s="11">
        <v>152134.83999999997</v>
      </c>
      <c r="H228" s="11">
        <v>29042.695714285743</v>
      </c>
      <c r="I228" s="11">
        <f t="shared" si="3"/>
        <v>1150</v>
      </c>
    </row>
    <row r="229" spans="1:9" x14ac:dyDescent="0.3">
      <c r="A229" s="11" t="s">
        <v>8</v>
      </c>
      <c r="B229" s="11" t="s">
        <v>28</v>
      </c>
      <c r="C229" s="11" t="s">
        <v>20</v>
      </c>
      <c r="D229" s="12" t="s">
        <v>14</v>
      </c>
      <c r="E229" s="11">
        <v>36</v>
      </c>
      <c r="F229" s="11">
        <v>27000</v>
      </c>
      <c r="G229" s="11">
        <v>15139.64</v>
      </c>
      <c r="H229" s="11">
        <v>564.77904761904756</v>
      </c>
      <c r="I229" s="11">
        <f t="shared" si="3"/>
        <v>750</v>
      </c>
    </row>
    <row r="230" spans="1:9" x14ac:dyDescent="0.3">
      <c r="A230" s="9" t="s">
        <v>8</v>
      </c>
      <c r="B230" s="9" t="s">
        <v>28</v>
      </c>
      <c r="C230" s="9" t="s">
        <v>21</v>
      </c>
      <c r="D230" s="10" t="s">
        <v>11</v>
      </c>
      <c r="E230" s="11">
        <v>1104</v>
      </c>
      <c r="F230" s="11">
        <v>1324800</v>
      </c>
      <c r="G230" s="11">
        <v>536266.99999999849</v>
      </c>
      <c r="H230" s="11">
        <v>37549.190476190532</v>
      </c>
      <c r="I230" s="11">
        <f t="shared" si="3"/>
        <v>1200</v>
      </c>
    </row>
    <row r="231" spans="1:9" x14ac:dyDescent="0.3">
      <c r="A231" s="11" t="s">
        <v>8</v>
      </c>
      <c r="B231" s="11" t="s">
        <v>28</v>
      </c>
      <c r="C231" s="11" t="s">
        <v>22</v>
      </c>
      <c r="D231" s="12" t="s">
        <v>23</v>
      </c>
      <c r="E231" s="11">
        <v>8</v>
      </c>
      <c r="F231" s="11">
        <v>1592</v>
      </c>
      <c r="G231" s="11">
        <v>619.04</v>
      </c>
      <c r="H231" s="11">
        <v>46.33142857142866</v>
      </c>
      <c r="I231" s="11">
        <f t="shared" si="3"/>
        <v>199</v>
      </c>
    </row>
    <row r="232" spans="1:9" x14ac:dyDescent="0.3">
      <c r="A232" s="9" t="s">
        <v>8</v>
      </c>
      <c r="B232" s="9" t="s">
        <v>28</v>
      </c>
      <c r="C232" s="9" t="s">
        <v>24</v>
      </c>
      <c r="D232" s="10" t="s">
        <v>23</v>
      </c>
      <c r="E232" s="11">
        <v>176</v>
      </c>
      <c r="F232" s="11">
        <v>79200</v>
      </c>
      <c r="G232" s="11">
        <v>30966.44000000001</v>
      </c>
      <c r="H232" s="11">
        <v>2296.8361904761914</v>
      </c>
      <c r="I232" s="11">
        <f t="shared" si="3"/>
        <v>450</v>
      </c>
    </row>
    <row r="233" spans="1:9" x14ac:dyDescent="0.3">
      <c r="A233" s="11" t="s">
        <v>8</v>
      </c>
      <c r="B233" s="11" t="s">
        <v>28</v>
      </c>
      <c r="C233" s="11" t="s">
        <v>25</v>
      </c>
      <c r="D233" s="12" t="s">
        <v>23</v>
      </c>
      <c r="E233" s="11">
        <v>8</v>
      </c>
      <c r="F233" s="11">
        <v>7200</v>
      </c>
      <c r="G233" s="11">
        <v>3627.04</v>
      </c>
      <c r="H233" s="11">
        <v>545.02779661016939</v>
      </c>
      <c r="I233" s="11">
        <f t="shared" si="3"/>
        <v>900</v>
      </c>
    </row>
    <row r="234" spans="1:9" x14ac:dyDescent="0.3">
      <c r="A234" s="9" t="s">
        <v>8</v>
      </c>
      <c r="B234" s="9" t="s">
        <v>28</v>
      </c>
      <c r="C234" s="9" t="s">
        <v>10</v>
      </c>
      <c r="D234" s="10" t="s">
        <v>11</v>
      </c>
      <c r="E234" s="11">
        <v>8</v>
      </c>
      <c r="F234" s="11">
        <v>2680</v>
      </c>
      <c r="G234" s="11">
        <v>1080</v>
      </c>
      <c r="H234" s="11">
        <v>76.190476190476147</v>
      </c>
      <c r="I234" s="11">
        <f t="shared" si="3"/>
        <v>335</v>
      </c>
    </row>
    <row r="235" spans="1:9" x14ac:dyDescent="0.3">
      <c r="A235" s="11" t="s">
        <v>8</v>
      </c>
      <c r="B235" s="11" t="s">
        <v>28</v>
      </c>
      <c r="C235" s="11" t="s">
        <v>12</v>
      </c>
      <c r="D235" s="12" t="s">
        <v>11</v>
      </c>
      <c r="E235" s="11">
        <v>160</v>
      </c>
      <c r="F235" s="11">
        <v>96000</v>
      </c>
      <c r="G235" s="11">
        <v>36960.520000000004</v>
      </c>
      <c r="H235" s="11">
        <v>2811.4038095238138</v>
      </c>
      <c r="I235" s="11">
        <f t="shared" si="3"/>
        <v>600</v>
      </c>
    </row>
    <row r="236" spans="1:9" x14ac:dyDescent="0.3">
      <c r="A236" s="9" t="s">
        <v>8</v>
      </c>
      <c r="B236" s="9" t="s">
        <v>28</v>
      </c>
      <c r="C236" s="9" t="s">
        <v>13</v>
      </c>
      <c r="D236" s="10" t="s">
        <v>14</v>
      </c>
      <c r="E236" s="11">
        <v>2400</v>
      </c>
      <c r="F236" s="11">
        <v>900000</v>
      </c>
      <c r="G236" s="11">
        <v>621968.72000000055</v>
      </c>
      <c r="H236" s="11">
        <v>13239.584761904727</v>
      </c>
      <c r="I236" s="11">
        <f t="shared" si="3"/>
        <v>375</v>
      </c>
    </row>
    <row r="237" spans="1:9" x14ac:dyDescent="0.3">
      <c r="A237" s="11" t="s">
        <v>8</v>
      </c>
      <c r="B237" s="11" t="s">
        <v>28</v>
      </c>
      <c r="C237" s="11" t="s">
        <v>15</v>
      </c>
      <c r="D237" s="12" t="s">
        <v>14</v>
      </c>
      <c r="E237" s="11">
        <v>4</v>
      </c>
      <c r="F237" s="11">
        <v>660</v>
      </c>
      <c r="G237" s="11">
        <v>120</v>
      </c>
      <c r="H237" s="11">
        <v>25.714285714285779</v>
      </c>
      <c r="I237" s="11">
        <f t="shared" si="3"/>
        <v>165</v>
      </c>
    </row>
    <row r="238" spans="1:9" x14ac:dyDescent="0.3">
      <c r="A238" s="9" t="s">
        <v>8</v>
      </c>
      <c r="B238" s="9" t="s">
        <v>28</v>
      </c>
      <c r="C238" s="9" t="s">
        <v>16</v>
      </c>
      <c r="D238" s="10" t="s">
        <v>17</v>
      </c>
      <c r="E238" s="11">
        <v>4</v>
      </c>
      <c r="F238" s="11">
        <v>1196</v>
      </c>
      <c r="G238" s="11">
        <v>300</v>
      </c>
      <c r="H238" s="11">
        <v>96.000000000000114</v>
      </c>
      <c r="I238" s="11">
        <f t="shared" si="3"/>
        <v>299</v>
      </c>
    </row>
    <row r="239" spans="1:9" x14ac:dyDescent="0.3">
      <c r="A239" s="11" t="s">
        <v>8</v>
      </c>
      <c r="B239" s="11" t="s">
        <v>28</v>
      </c>
      <c r="C239" s="11" t="s">
        <v>18</v>
      </c>
      <c r="D239" s="12" t="s">
        <v>17</v>
      </c>
      <c r="E239" s="11">
        <v>128</v>
      </c>
      <c r="F239" s="11">
        <v>73600</v>
      </c>
      <c r="G239" s="11">
        <v>24299.119999999988</v>
      </c>
      <c r="H239" s="11">
        <v>5282.2371428571496</v>
      </c>
      <c r="I239" s="11">
        <f t="shared" si="3"/>
        <v>575</v>
      </c>
    </row>
    <row r="240" spans="1:9" x14ac:dyDescent="0.3">
      <c r="A240" s="9" t="s">
        <v>8</v>
      </c>
      <c r="B240" s="9" t="s">
        <v>28</v>
      </c>
      <c r="C240" s="9" t="s">
        <v>19</v>
      </c>
      <c r="D240" s="10" t="s">
        <v>17</v>
      </c>
      <c r="E240" s="11">
        <v>384</v>
      </c>
      <c r="F240" s="11">
        <v>441600</v>
      </c>
      <c r="G240" s="11">
        <v>160990.24000000011</v>
      </c>
      <c r="H240" s="11">
        <v>30065.33142857143</v>
      </c>
      <c r="I240" s="11">
        <f t="shared" si="3"/>
        <v>1150</v>
      </c>
    </row>
    <row r="241" spans="1:9" x14ac:dyDescent="0.3">
      <c r="A241" s="11" t="s">
        <v>8</v>
      </c>
      <c r="B241" s="11" t="s">
        <v>28</v>
      </c>
      <c r="C241" s="11" t="s">
        <v>20</v>
      </c>
      <c r="D241" s="12" t="s">
        <v>14</v>
      </c>
      <c r="E241" s="11">
        <v>12</v>
      </c>
      <c r="F241" s="11">
        <v>9000</v>
      </c>
      <c r="G241" s="11">
        <v>4250.08</v>
      </c>
      <c r="H241" s="11">
        <v>226.1866666666665</v>
      </c>
      <c r="I241" s="11">
        <f t="shared" si="3"/>
        <v>750</v>
      </c>
    </row>
    <row r="242" spans="1:9" x14ac:dyDescent="0.3">
      <c r="A242" s="9" t="s">
        <v>8</v>
      </c>
      <c r="B242" s="9" t="s">
        <v>28</v>
      </c>
      <c r="C242" s="9" t="s">
        <v>21</v>
      </c>
      <c r="D242" s="10" t="s">
        <v>11</v>
      </c>
      <c r="E242" s="11">
        <v>760</v>
      </c>
      <c r="F242" s="11">
        <v>912000</v>
      </c>
      <c r="G242" s="11">
        <v>369446.64000000118</v>
      </c>
      <c r="H242" s="11">
        <v>25835.874285714235</v>
      </c>
      <c r="I242" s="11">
        <f t="shared" si="3"/>
        <v>1200</v>
      </c>
    </row>
    <row r="243" spans="1:9" x14ac:dyDescent="0.3">
      <c r="A243" s="11" t="s">
        <v>8</v>
      </c>
      <c r="B243" s="11" t="s">
        <v>28</v>
      </c>
      <c r="C243" s="11" t="s">
        <v>22</v>
      </c>
      <c r="D243" s="12" t="s">
        <v>23</v>
      </c>
      <c r="E243" s="11">
        <v>4</v>
      </c>
      <c r="F243" s="11">
        <v>796</v>
      </c>
      <c r="G243" s="11">
        <v>202.79999999999995</v>
      </c>
      <c r="H243" s="11">
        <v>28.247619047619082</v>
      </c>
      <c r="I243" s="11">
        <f t="shared" si="3"/>
        <v>199</v>
      </c>
    </row>
    <row r="244" spans="1:9" x14ac:dyDescent="0.3">
      <c r="A244" s="9" t="s">
        <v>8</v>
      </c>
      <c r="B244" s="9" t="s">
        <v>28</v>
      </c>
      <c r="C244" s="9" t="s">
        <v>24</v>
      </c>
      <c r="D244" s="10" t="s">
        <v>23</v>
      </c>
      <c r="E244" s="11">
        <v>76</v>
      </c>
      <c r="F244" s="11">
        <v>34200</v>
      </c>
      <c r="G244" s="11">
        <v>16450.720000000005</v>
      </c>
      <c r="H244" s="11">
        <v>845.20380952380947</v>
      </c>
      <c r="I244" s="11">
        <f t="shared" si="3"/>
        <v>450</v>
      </c>
    </row>
    <row r="245" spans="1:9" x14ac:dyDescent="0.3">
      <c r="A245" s="11" t="s">
        <v>8</v>
      </c>
      <c r="B245" s="11" t="s">
        <v>28</v>
      </c>
      <c r="C245" s="11" t="s">
        <v>25</v>
      </c>
      <c r="D245" s="12" t="s">
        <v>23</v>
      </c>
      <c r="E245" s="11">
        <v>4</v>
      </c>
      <c r="F245" s="11">
        <v>3600</v>
      </c>
      <c r="G245" s="11">
        <v>1623.04</v>
      </c>
      <c r="H245" s="11">
        <v>301.57016949152535</v>
      </c>
      <c r="I245" s="11">
        <f t="shared" si="3"/>
        <v>900</v>
      </c>
    </row>
    <row r="246" spans="1:9" x14ac:dyDescent="0.3">
      <c r="A246" s="9" t="s">
        <v>8</v>
      </c>
      <c r="B246" s="9" t="s">
        <v>28</v>
      </c>
      <c r="C246" s="9" t="s">
        <v>10</v>
      </c>
      <c r="D246" s="10" t="s">
        <v>11</v>
      </c>
      <c r="E246" s="11">
        <v>36</v>
      </c>
      <c r="F246" s="11">
        <v>12060</v>
      </c>
      <c r="G246" s="11">
        <v>4936.16</v>
      </c>
      <c r="H246" s="11">
        <v>339.23047619047611</v>
      </c>
      <c r="I246" s="11">
        <f t="shared" si="3"/>
        <v>335</v>
      </c>
    </row>
    <row r="247" spans="1:9" x14ac:dyDescent="0.3">
      <c r="A247" s="11" t="s">
        <v>8</v>
      </c>
      <c r="B247" s="11" t="s">
        <v>28</v>
      </c>
      <c r="C247" s="11" t="s">
        <v>12</v>
      </c>
      <c r="D247" s="12" t="s">
        <v>11</v>
      </c>
      <c r="E247" s="11">
        <v>204</v>
      </c>
      <c r="F247" s="11">
        <v>122400</v>
      </c>
      <c r="G247" s="11">
        <v>47840.159999999974</v>
      </c>
      <c r="H247" s="11">
        <v>3550.4685714285733</v>
      </c>
      <c r="I247" s="11">
        <f t="shared" si="3"/>
        <v>600</v>
      </c>
    </row>
    <row r="248" spans="1:9" x14ac:dyDescent="0.3">
      <c r="A248" s="9" t="s">
        <v>8</v>
      </c>
      <c r="B248" s="9" t="s">
        <v>28</v>
      </c>
      <c r="C248" s="9" t="s">
        <v>13</v>
      </c>
      <c r="D248" s="10" t="s">
        <v>14</v>
      </c>
      <c r="E248" s="11">
        <v>1664</v>
      </c>
      <c r="F248" s="11">
        <v>624000</v>
      </c>
      <c r="G248" s="11">
        <v>430909.04000000015</v>
      </c>
      <c r="H248" s="11">
        <v>9194.8076190476131</v>
      </c>
      <c r="I248" s="11">
        <f t="shared" si="3"/>
        <v>375</v>
      </c>
    </row>
    <row r="249" spans="1:9" x14ac:dyDescent="0.3">
      <c r="A249" s="11" t="s">
        <v>8</v>
      </c>
      <c r="B249" s="11" t="s">
        <v>28</v>
      </c>
      <c r="C249" s="11" t="s">
        <v>18</v>
      </c>
      <c r="D249" s="12" t="s">
        <v>17</v>
      </c>
      <c r="E249" s="11">
        <v>124</v>
      </c>
      <c r="F249" s="11">
        <v>71300</v>
      </c>
      <c r="G249" s="11">
        <v>23222.87999999999</v>
      </c>
      <c r="H249" s="11">
        <v>5151.1200000000026</v>
      </c>
      <c r="I249" s="11">
        <f t="shared" si="3"/>
        <v>575</v>
      </c>
    </row>
    <row r="250" spans="1:9" x14ac:dyDescent="0.3">
      <c r="A250" s="9" t="s">
        <v>8</v>
      </c>
      <c r="B250" s="9" t="s">
        <v>28</v>
      </c>
      <c r="C250" s="9" t="s">
        <v>19</v>
      </c>
      <c r="D250" s="10" t="s">
        <v>17</v>
      </c>
      <c r="E250" s="11">
        <v>316</v>
      </c>
      <c r="F250" s="11">
        <v>363400</v>
      </c>
      <c r="G250" s="11">
        <v>133786.39999999994</v>
      </c>
      <c r="H250" s="11">
        <v>24601.457142857165</v>
      </c>
      <c r="I250" s="11">
        <f t="shared" si="3"/>
        <v>1150</v>
      </c>
    </row>
    <row r="251" spans="1:9" x14ac:dyDescent="0.3">
      <c r="A251" s="11" t="s">
        <v>8</v>
      </c>
      <c r="B251" s="11" t="s">
        <v>28</v>
      </c>
      <c r="C251" s="11" t="s">
        <v>20</v>
      </c>
      <c r="D251" s="12" t="s">
        <v>14</v>
      </c>
      <c r="E251" s="11">
        <v>4</v>
      </c>
      <c r="F251" s="11">
        <v>3000</v>
      </c>
      <c r="G251" s="11">
        <v>1409.88</v>
      </c>
      <c r="H251" s="11">
        <v>75.720000000000027</v>
      </c>
      <c r="I251" s="11">
        <f t="shared" si="3"/>
        <v>750</v>
      </c>
    </row>
    <row r="252" spans="1:9" x14ac:dyDescent="0.3">
      <c r="A252" s="9" t="s">
        <v>8</v>
      </c>
      <c r="B252" s="9" t="s">
        <v>28</v>
      </c>
      <c r="C252" s="9" t="s">
        <v>21</v>
      </c>
      <c r="D252" s="10" t="s">
        <v>11</v>
      </c>
      <c r="E252" s="11">
        <v>852</v>
      </c>
      <c r="F252" s="11">
        <v>1022400</v>
      </c>
      <c r="G252" s="11">
        <v>411062.32000000041</v>
      </c>
      <c r="H252" s="11">
        <v>29111.318095238064</v>
      </c>
      <c r="I252" s="11">
        <f t="shared" si="3"/>
        <v>1200</v>
      </c>
    </row>
    <row r="253" spans="1:9" x14ac:dyDescent="0.3">
      <c r="A253" s="11" t="s">
        <v>8</v>
      </c>
      <c r="B253" s="11" t="s">
        <v>28</v>
      </c>
      <c r="C253" s="11" t="s">
        <v>22</v>
      </c>
      <c r="D253" s="12" t="s">
        <v>23</v>
      </c>
      <c r="E253" s="11">
        <v>0</v>
      </c>
      <c r="F253" s="11">
        <v>0</v>
      </c>
      <c r="G253" s="11">
        <v>0</v>
      </c>
      <c r="H253" s="11">
        <v>0</v>
      </c>
      <c r="I253" s="11">
        <f t="shared" si="3"/>
        <v>0</v>
      </c>
    </row>
    <row r="254" spans="1:9" x14ac:dyDescent="0.3">
      <c r="A254" s="9" t="s">
        <v>8</v>
      </c>
      <c r="B254" s="9" t="s">
        <v>28</v>
      </c>
      <c r="C254" s="9" t="s">
        <v>24</v>
      </c>
      <c r="D254" s="10" t="s">
        <v>23</v>
      </c>
      <c r="E254" s="11">
        <v>184</v>
      </c>
      <c r="F254" s="11">
        <v>82800</v>
      </c>
      <c r="G254" s="11">
        <v>42893.560000000012</v>
      </c>
      <c r="H254" s="11">
        <v>1900.3066666666709</v>
      </c>
      <c r="I254" s="11">
        <f t="shared" si="3"/>
        <v>450</v>
      </c>
    </row>
    <row r="255" spans="1:9" x14ac:dyDescent="0.3">
      <c r="A255" s="11" t="s">
        <v>8</v>
      </c>
      <c r="B255" s="11" t="s">
        <v>28</v>
      </c>
      <c r="C255" s="11" t="s">
        <v>25</v>
      </c>
      <c r="D255" s="12" t="s">
        <v>23</v>
      </c>
      <c r="E255" s="11">
        <v>4</v>
      </c>
      <c r="F255" s="11">
        <v>3600</v>
      </c>
      <c r="G255" s="11">
        <v>1623.04</v>
      </c>
      <c r="H255" s="11">
        <v>301.57016949152535</v>
      </c>
      <c r="I255" s="11">
        <f t="shared" si="3"/>
        <v>900</v>
      </c>
    </row>
    <row r="256" spans="1:9" x14ac:dyDescent="0.3">
      <c r="A256" s="9" t="s">
        <v>8</v>
      </c>
      <c r="B256" s="9" t="s">
        <v>28</v>
      </c>
      <c r="C256" s="9" t="s">
        <v>10</v>
      </c>
      <c r="D256" s="10" t="s">
        <v>11</v>
      </c>
      <c r="E256" s="11">
        <v>8</v>
      </c>
      <c r="F256" s="11">
        <v>2680</v>
      </c>
      <c r="G256" s="11">
        <v>1080</v>
      </c>
      <c r="H256" s="11">
        <v>76.190476190476147</v>
      </c>
      <c r="I256" s="11">
        <f t="shared" si="3"/>
        <v>335</v>
      </c>
    </row>
    <row r="257" spans="1:9" x14ac:dyDescent="0.3">
      <c r="A257" s="11" t="s">
        <v>8</v>
      </c>
      <c r="B257" s="11" t="s">
        <v>28</v>
      </c>
      <c r="C257" s="11" t="s">
        <v>12</v>
      </c>
      <c r="D257" s="12" t="s">
        <v>11</v>
      </c>
      <c r="E257" s="11">
        <v>200</v>
      </c>
      <c r="F257" s="11">
        <v>120000</v>
      </c>
      <c r="G257" s="11">
        <v>46268.759999999995</v>
      </c>
      <c r="H257" s="11">
        <v>3511.0114285714371</v>
      </c>
      <c r="I257" s="11">
        <f t="shared" si="3"/>
        <v>600</v>
      </c>
    </row>
    <row r="258" spans="1:9" x14ac:dyDescent="0.3">
      <c r="A258" s="9" t="s">
        <v>8</v>
      </c>
      <c r="B258" s="9" t="s">
        <v>28</v>
      </c>
      <c r="C258" s="9" t="s">
        <v>13</v>
      </c>
      <c r="D258" s="10" t="s">
        <v>14</v>
      </c>
      <c r="E258" s="11">
        <v>528</v>
      </c>
      <c r="F258" s="11">
        <v>198000</v>
      </c>
      <c r="G258" s="11">
        <v>136661.24000000005</v>
      </c>
      <c r="H258" s="11">
        <v>2920.8933333333334</v>
      </c>
      <c r="I258" s="11">
        <f t="shared" si="3"/>
        <v>375</v>
      </c>
    </row>
    <row r="259" spans="1:9" x14ac:dyDescent="0.3">
      <c r="A259" s="11" t="s">
        <v>8</v>
      </c>
      <c r="B259" s="11" t="s">
        <v>28</v>
      </c>
      <c r="C259" s="11" t="s">
        <v>16</v>
      </c>
      <c r="D259" s="12" t="s">
        <v>17</v>
      </c>
      <c r="E259" s="11">
        <v>4</v>
      </c>
      <c r="F259" s="11">
        <v>1196</v>
      </c>
      <c r="G259" s="11">
        <v>317.84000000000003</v>
      </c>
      <c r="H259" s="11">
        <v>94.088571428571527</v>
      </c>
      <c r="I259" s="11">
        <f t="shared" ref="I259:I322" si="4">IFERROR((F259/E259),0)</f>
        <v>299</v>
      </c>
    </row>
    <row r="260" spans="1:9" x14ac:dyDescent="0.3">
      <c r="A260" s="9" t="s">
        <v>8</v>
      </c>
      <c r="B260" s="9" t="s">
        <v>28</v>
      </c>
      <c r="C260" s="9" t="s">
        <v>18</v>
      </c>
      <c r="D260" s="10" t="s">
        <v>17</v>
      </c>
      <c r="E260" s="11">
        <v>96</v>
      </c>
      <c r="F260" s="11">
        <v>55200</v>
      </c>
      <c r="G260" s="11">
        <v>17923.19999999999</v>
      </c>
      <c r="H260" s="11">
        <v>3993.942857142858</v>
      </c>
      <c r="I260" s="11">
        <f t="shared" si="4"/>
        <v>575</v>
      </c>
    </row>
    <row r="261" spans="1:9" x14ac:dyDescent="0.3">
      <c r="A261" s="11" t="s">
        <v>8</v>
      </c>
      <c r="B261" s="11" t="s">
        <v>28</v>
      </c>
      <c r="C261" s="11" t="s">
        <v>19</v>
      </c>
      <c r="D261" s="12" t="s">
        <v>17</v>
      </c>
      <c r="E261" s="11">
        <v>324</v>
      </c>
      <c r="F261" s="11">
        <v>372600</v>
      </c>
      <c r="G261" s="11">
        <v>131484.11999999994</v>
      </c>
      <c r="H261" s="11">
        <v>25833.844285714324</v>
      </c>
      <c r="I261" s="11">
        <f t="shared" si="4"/>
        <v>1150</v>
      </c>
    </row>
    <row r="262" spans="1:9" x14ac:dyDescent="0.3">
      <c r="A262" s="9" t="s">
        <v>8</v>
      </c>
      <c r="B262" s="9" t="s">
        <v>28</v>
      </c>
      <c r="C262" s="9" t="s">
        <v>20</v>
      </c>
      <c r="D262" s="10" t="s">
        <v>14</v>
      </c>
      <c r="E262" s="11">
        <v>8</v>
      </c>
      <c r="F262" s="11">
        <v>6000</v>
      </c>
      <c r="G262" s="11">
        <v>2979.04</v>
      </c>
      <c r="H262" s="11">
        <v>143.85523809523829</v>
      </c>
      <c r="I262" s="11">
        <f t="shared" si="4"/>
        <v>750</v>
      </c>
    </row>
    <row r="263" spans="1:9" x14ac:dyDescent="0.3">
      <c r="A263" s="11" t="s">
        <v>8</v>
      </c>
      <c r="B263" s="11" t="s">
        <v>28</v>
      </c>
      <c r="C263" s="11" t="s">
        <v>21</v>
      </c>
      <c r="D263" s="12" t="s">
        <v>11</v>
      </c>
      <c r="E263" s="11">
        <v>636</v>
      </c>
      <c r="F263" s="11">
        <v>763200</v>
      </c>
      <c r="G263" s="11">
        <v>308712.2800000009</v>
      </c>
      <c r="H263" s="11">
        <v>21642.272380952374</v>
      </c>
      <c r="I263" s="11">
        <f t="shared" si="4"/>
        <v>1200</v>
      </c>
    </row>
    <row r="264" spans="1:9" x14ac:dyDescent="0.3">
      <c r="A264" s="9" t="s">
        <v>8</v>
      </c>
      <c r="B264" s="9" t="s">
        <v>28</v>
      </c>
      <c r="C264" s="9" t="s">
        <v>24</v>
      </c>
      <c r="D264" s="10" t="s">
        <v>23</v>
      </c>
      <c r="E264" s="11">
        <v>152</v>
      </c>
      <c r="F264" s="11">
        <v>68400</v>
      </c>
      <c r="G264" s="11">
        <v>34739.12000000001</v>
      </c>
      <c r="H264" s="11">
        <v>1602.8990476190484</v>
      </c>
      <c r="I264" s="11">
        <f t="shared" si="4"/>
        <v>450</v>
      </c>
    </row>
    <row r="265" spans="1:9" x14ac:dyDescent="0.3">
      <c r="A265" s="11" t="s">
        <v>8</v>
      </c>
      <c r="B265" s="11" t="s">
        <v>28</v>
      </c>
      <c r="C265" s="11" t="s">
        <v>25</v>
      </c>
      <c r="D265" s="12" t="s">
        <v>23</v>
      </c>
      <c r="E265" s="11">
        <v>4</v>
      </c>
      <c r="F265" s="11">
        <v>3600</v>
      </c>
      <c r="G265" s="11">
        <v>1623.04</v>
      </c>
      <c r="H265" s="11">
        <v>301.57016949152535</v>
      </c>
      <c r="I265" s="11">
        <f t="shared" si="4"/>
        <v>900</v>
      </c>
    </row>
    <row r="266" spans="1:9" x14ac:dyDescent="0.3">
      <c r="A266" s="9" t="s">
        <v>8</v>
      </c>
      <c r="B266" s="9" t="s">
        <v>28</v>
      </c>
      <c r="C266" s="9" t="s">
        <v>10</v>
      </c>
      <c r="D266" s="10" t="s">
        <v>11</v>
      </c>
      <c r="E266" s="11">
        <v>24</v>
      </c>
      <c r="F266" s="11">
        <v>8040</v>
      </c>
      <c r="G266" s="11">
        <v>3278.04</v>
      </c>
      <c r="H266" s="11">
        <v>226.76000000000022</v>
      </c>
      <c r="I266" s="11">
        <f t="shared" si="4"/>
        <v>335</v>
      </c>
    </row>
    <row r="267" spans="1:9" x14ac:dyDescent="0.3">
      <c r="A267" s="11" t="s">
        <v>8</v>
      </c>
      <c r="B267" s="11" t="s">
        <v>28</v>
      </c>
      <c r="C267" s="11" t="s">
        <v>12</v>
      </c>
      <c r="D267" s="12" t="s">
        <v>11</v>
      </c>
      <c r="E267" s="11">
        <v>560</v>
      </c>
      <c r="F267" s="11">
        <v>336000</v>
      </c>
      <c r="G267" s="11">
        <v>217705.44</v>
      </c>
      <c r="H267" s="11">
        <v>5633.0742857142905</v>
      </c>
      <c r="I267" s="11">
        <f t="shared" si="4"/>
        <v>600</v>
      </c>
    </row>
    <row r="268" spans="1:9" x14ac:dyDescent="0.3">
      <c r="A268" s="9" t="s">
        <v>8</v>
      </c>
      <c r="B268" s="9" t="s">
        <v>28</v>
      </c>
      <c r="C268" s="9" t="s">
        <v>13</v>
      </c>
      <c r="D268" s="10" t="s">
        <v>14</v>
      </c>
      <c r="E268" s="11">
        <v>200</v>
      </c>
      <c r="F268" s="11">
        <v>75000</v>
      </c>
      <c r="G268" s="11">
        <v>51513.080000000009</v>
      </c>
      <c r="H268" s="11">
        <v>1118.4247619047637</v>
      </c>
      <c r="I268" s="11">
        <f t="shared" si="4"/>
        <v>375</v>
      </c>
    </row>
    <row r="269" spans="1:9" x14ac:dyDescent="0.3">
      <c r="A269" s="11" t="s">
        <v>8</v>
      </c>
      <c r="B269" s="11" t="s">
        <v>28</v>
      </c>
      <c r="C269" s="11" t="s">
        <v>18</v>
      </c>
      <c r="D269" s="12" t="s">
        <v>17</v>
      </c>
      <c r="E269" s="11">
        <v>100</v>
      </c>
      <c r="F269" s="11">
        <v>57500</v>
      </c>
      <c r="G269" s="11">
        <v>18671.080000000002</v>
      </c>
      <c r="H269" s="11">
        <v>4160.2414285714331</v>
      </c>
      <c r="I269" s="11">
        <f t="shared" si="4"/>
        <v>575</v>
      </c>
    </row>
    <row r="270" spans="1:9" x14ac:dyDescent="0.3">
      <c r="A270" s="9" t="s">
        <v>8</v>
      </c>
      <c r="B270" s="9" t="s">
        <v>28</v>
      </c>
      <c r="C270" s="9" t="s">
        <v>19</v>
      </c>
      <c r="D270" s="10" t="s">
        <v>17</v>
      </c>
      <c r="E270" s="11">
        <v>356</v>
      </c>
      <c r="F270" s="11">
        <v>409400</v>
      </c>
      <c r="G270" s="11">
        <v>226736.31999999998</v>
      </c>
      <c r="H270" s="11">
        <v>19571.108571428602</v>
      </c>
      <c r="I270" s="11">
        <f t="shared" si="4"/>
        <v>1150</v>
      </c>
    </row>
    <row r="271" spans="1:9" x14ac:dyDescent="0.3">
      <c r="A271" s="11" t="s">
        <v>8</v>
      </c>
      <c r="B271" s="11" t="s">
        <v>28</v>
      </c>
      <c r="C271" s="11" t="s">
        <v>20</v>
      </c>
      <c r="D271" s="12" t="s">
        <v>14</v>
      </c>
      <c r="E271" s="11">
        <v>16</v>
      </c>
      <c r="F271" s="11">
        <v>12000</v>
      </c>
      <c r="G271" s="11">
        <v>5806.08</v>
      </c>
      <c r="H271" s="11">
        <v>294.948571428572</v>
      </c>
      <c r="I271" s="11">
        <f t="shared" si="4"/>
        <v>750</v>
      </c>
    </row>
    <row r="272" spans="1:9" x14ac:dyDescent="0.3">
      <c r="A272" s="9" t="s">
        <v>8</v>
      </c>
      <c r="B272" s="9" t="s">
        <v>28</v>
      </c>
      <c r="C272" s="9" t="s">
        <v>21</v>
      </c>
      <c r="D272" s="10" t="s">
        <v>11</v>
      </c>
      <c r="E272" s="11">
        <v>348</v>
      </c>
      <c r="F272" s="11">
        <v>417600</v>
      </c>
      <c r="G272" s="11">
        <v>174879.52</v>
      </c>
      <c r="H272" s="11">
        <v>11558.118095238111</v>
      </c>
      <c r="I272" s="11">
        <f t="shared" si="4"/>
        <v>1200</v>
      </c>
    </row>
    <row r="273" spans="1:9" x14ac:dyDescent="0.3">
      <c r="A273" s="11" t="s">
        <v>8</v>
      </c>
      <c r="B273" s="11" t="s">
        <v>28</v>
      </c>
      <c r="C273" s="11" t="s">
        <v>22</v>
      </c>
      <c r="D273" s="12" t="s">
        <v>23</v>
      </c>
      <c r="E273" s="11">
        <v>4</v>
      </c>
      <c r="F273" s="11">
        <v>796</v>
      </c>
      <c r="G273" s="11">
        <v>200</v>
      </c>
      <c r="H273" s="11">
        <v>28.380952380952408</v>
      </c>
      <c r="I273" s="11">
        <f t="shared" si="4"/>
        <v>199</v>
      </c>
    </row>
    <row r="274" spans="1:9" x14ac:dyDescent="0.3">
      <c r="A274" s="9" t="s">
        <v>8</v>
      </c>
      <c r="B274" s="9" t="s">
        <v>28</v>
      </c>
      <c r="C274" s="9" t="s">
        <v>24</v>
      </c>
      <c r="D274" s="10" t="s">
        <v>23</v>
      </c>
      <c r="E274" s="11">
        <v>80</v>
      </c>
      <c r="F274" s="11">
        <v>36000</v>
      </c>
      <c r="G274" s="11">
        <v>18358.600000000002</v>
      </c>
      <c r="H274" s="11">
        <v>840.0666666666657</v>
      </c>
      <c r="I274" s="11">
        <f t="shared" si="4"/>
        <v>450</v>
      </c>
    </row>
    <row r="275" spans="1:9" x14ac:dyDescent="0.3">
      <c r="A275" s="11" t="s">
        <v>8</v>
      </c>
      <c r="B275" s="11" t="s">
        <v>28</v>
      </c>
      <c r="C275" s="11" t="s">
        <v>26</v>
      </c>
      <c r="D275" s="12" t="s">
        <v>27</v>
      </c>
      <c r="E275" s="11">
        <v>96</v>
      </c>
      <c r="F275" s="11">
        <v>225600</v>
      </c>
      <c r="G275" s="11">
        <v>171200</v>
      </c>
      <c r="H275" s="11">
        <v>5828.5714285714348</v>
      </c>
      <c r="I275" s="11">
        <f t="shared" si="4"/>
        <v>2350</v>
      </c>
    </row>
    <row r="276" spans="1:9" x14ac:dyDescent="0.3">
      <c r="A276" s="9" t="s">
        <v>8</v>
      </c>
      <c r="B276" s="9" t="s">
        <v>28</v>
      </c>
      <c r="C276" s="9" t="s">
        <v>12</v>
      </c>
      <c r="D276" s="10" t="s">
        <v>11</v>
      </c>
      <c r="E276" s="11">
        <v>12</v>
      </c>
      <c r="F276" s="11">
        <v>7200</v>
      </c>
      <c r="G276" s="11">
        <v>1983.04</v>
      </c>
      <c r="H276" s="11">
        <v>248.42666666666719</v>
      </c>
      <c r="I276" s="11">
        <f t="shared" si="4"/>
        <v>600</v>
      </c>
    </row>
    <row r="277" spans="1:9" x14ac:dyDescent="0.3">
      <c r="A277" s="11" t="s">
        <v>8</v>
      </c>
      <c r="B277" s="11" t="s">
        <v>28</v>
      </c>
      <c r="C277" s="11" t="s">
        <v>13</v>
      </c>
      <c r="D277" s="12" t="s">
        <v>14</v>
      </c>
      <c r="E277" s="11">
        <v>296</v>
      </c>
      <c r="F277" s="11">
        <v>111000</v>
      </c>
      <c r="G277" s="11">
        <v>77167.760000000009</v>
      </c>
      <c r="H277" s="11">
        <v>1611.0590476190482</v>
      </c>
      <c r="I277" s="11">
        <f t="shared" si="4"/>
        <v>375</v>
      </c>
    </row>
    <row r="278" spans="1:9" x14ac:dyDescent="0.3">
      <c r="A278" s="9" t="s">
        <v>8</v>
      </c>
      <c r="B278" s="9" t="s">
        <v>28</v>
      </c>
      <c r="C278" s="9" t="s">
        <v>15</v>
      </c>
      <c r="D278" s="10" t="s">
        <v>14</v>
      </c>
      <c r="E278" s="11">
        <v>4</v>
      </c>
      <c r="F278" s="11">
        <v>660</v>
      </c>
      <c r="G278" s="11">
        <v>171.44</v>
      </c>
      <c r="H278" s="11">
        <v>23.26476190476194</v>
      </c>
      <c r="I278" s="11">
        <f t="shared" si="4"/>
        <v>165</v>
      </c>
    </row>
    <row r="279" spans="1:9" x14ac:dyDescent="0.3">
      <c r="A279" s="11" t="s">
        <v>8</v>
      </c>
      <c r="B279" s="11" t="s">
        <v>28</v>
      </c>
      <c r="C279" s="11" t="s">
        <v>18</v>
      </c>
      <c r="D279" s="12" t="s">
        <v>17</v>
      </c>
      <c r="E279" s="11">
        <v>8</v>
      </c>
      <c r="F279" s="11">
        <v>4600</v>
      </c>
      <c r="G279" s="11">
        <v>1008</v>
      </c>
      <c r="H279" s="11">
        <v>384.85714285714312</v>
      </c>
      <c r="I279" s="11">
        <f t="shared" si="4"/>
        <v>575</v>
      </c>
    </row>
    <row r="280" spans="1:9" x14ac:dyDescent="0.3">
      <c r="A280" s="9" t="s">
        <v>8</v>
      </c>
      <c r="B280" s="9" t="s">
        <v>28</v>
      </c>
      <c r="C280" s="9" t="s">
        <v>19</v>
      </c>
      <c r="D280" s="10" t="s">
        <v>17</v>
      </c>
      <c r="E280" s="11">
        <v>192</v>
      </c>
      <c r="F280" s="11">
        <v>220800</v>
      </c>
      <c r="G280" s="11">
        <v>94243.56</v>
      </c>
      <c r="H280" s="11">
        <v>13559.618571428582</v>
      </c>
      <c r="I280" s="11">
        <f t="shared" si="4"/>
        <v>1150</v>
      </c>
    </row>
    <row r="281" spans="1:9" x14ac:dyDescent="0.3">
      <c r="A281" s="11" t="s">
        <v>8</v>
      </c>
      <c r="B281" s="11" t="s">
        <v>28</v>
      </c>
      <c r="C281" s="11" t="s">
        <v>21</v>
      </c>
      <c r="D281" s="12" t="s">
        <v>11</v>
      </c>
      <c r="E281" s="11">
        <v>520</v>
      </c>
      <c r="F281" s="11">
        <v>624000</v>
      </c>
      <c r="G281" s="11">
        <v>266979.83999999997</v>
      </c>
      <c r="H281" s="11">
        <v>17000.960000000021</v>
      </c>
      <c r="I281" s="11">
        <f t="shared" si="4"/>
        <v>1200</v>
      </c>
    </row>
    <row r="282" spans="1:9" x14ac:dyDescent="0.3">
      <c r="A282" s="9" t="s">
        <v>8</v>
      </c>
      <c r="B282" s="9" t="s">
        <v>28</v>
      </c>
      <c r="C282" s="9" t="s">
        <v>22</v>
      </c>
      <c r="D282" s="10" t="s">
        <v>23</v>
      </c>
      <c r="E282" s="11">
        <v>4</v>
      </c>
      <c r="F282" s="11">
        <v>796</v>
      </c>
      <c r="G282" s="11">
        <v>200</v>
      </c>
      <c r="H282" s="11">
        <v>28.380952380952408</v>
      </c>
      <c r="I282" s="11">
        <f t="shared" si="4"/>
        <v>199</v>
      </c>
    </row>
    <row r="283" spans="1:9" x14ac:dyDescent="0.3">
      <c r="A283" s="11" t="s">
        <v>8</v>
      </c>
      <c r="B283" s="11" t="s">
        <v>28</v>
      </c>
      <c r="C283" s="11" t="s">
        <v>24</v>
      </c>
      <c r="D283" s="12" t="s">
        <v>23</v>
      </c>
      <c r="E283" s="11">
        <v>84</v>
      </c>
      <c r="F283" s="11">
        <v>37800</v>
      </c>
      <c r="G283" s="11">
        <v>19361.919999999998</v>
      </c>
      <c r="H283" s="11">
        <v>878.00380952380874</v>
      </c>
      <c r="I283" s="11">
        <f t="shared" si="4"/>
        <v>450</v>
      </c>
    </row>
    <row r="284" spans="1:9" x14ac:dyDescent="0.3">
      <c r="A284" s="9" t="s">
        <v>8</v>
      </c>
      <c r="B284" s="9" t="s">
        <v>28</v>
      </c>
      <c r="C284" s="9" t="s">
        <v>25</v>
      </c>
      <c r="D284" s="10" t="s">
        <v>23</v>
      </c>
      <c r="E284" s="11">
        <v>4</v>
      </c>
      <c r="F284" s="11">
        <v>3600</v>
      </c>
      <c r="G284" s="11">
        <v>1699.04</v>
      </c>
      <c r="H284" s="11">
        <v>289.97694915254237</v>
      </c>
      <c r="I284" s="11">
        <f t="shared" si="4"/>
        <v>900</v>
      </c>
    </row>
    <row r="285" spans="1:9" x14ac:dyDescent="0.3">
      <c r="A285" s="11" t="s">
        <v>8</v>
      </c>
      <c r="B285" s="11" t="s">
        <v>28</v>
      </c>
      <c r="C285" s="11" t="s">
        <v>26</v>
      </c>
      <c r="D285" s="12" t="s">
        <v>27</v>
      </c>
      <c r="E285" s="11">
        <v>384</v>
      </c>
      <c r="F285" s="11">
        <v>902400</v>
      </c>
      <c r="G285" s="11">
        <v>671200</v>
      </c>
      <c r="H285" s="11">
        <v>24771.42857142858</v>
      </c>
      <c r="I285" s="11">
        <f t="shared" si="4"/>
        <v>2350</v>
      </c>
    </row>
    <row r="286" spans="1:9" x14ac:dyDescent="0.3">
      <c r="A286" s="9" t="s">
        <v>8</v>
      </c>
      <c r="B286" s="9" t="s">
        <v>28</v>
      </c>
      <c r="C286" s="9" t="s">
        <v>12</v>
      </c>
      <c r="D286" s="10" t="s">
        <v>11</v>
      </c>
      <c r="E286" s="11">
        <v>16</v>
      </c>
      <c r="F286" s="11">
        <v>9600</v>
      </c>
      <c r="G286" s="11">
        <v>2416</v>
      </c>
      <c r="H286" s="11">
        <v>342.09523809523853</v>
      </c>
      <c r="I286" s="11">
        <f t="shared" si="4"/>
        <v>600</v>
      </c>
    </row>
    <row r="287" spans="1:9" x14ac:dyDescent="0.3">
      <c r="A287" s="11" t="s">
        <v>8</v>
      </c>
      <c r="B287" s="11" t="s">
        <v>28</v>
      </c>
      <c r="C287" s="11" t="s">
        <v>13</v>
      </c>
      <c r="D287" s="12" t="s">
        <v>14</v>
      </c>
      <c r="E287" s="11">
        <v>348</v>
      </c>
      <c r="F287" s="11">
        <v>130500</v>
      </c>
      <c r="G287" s="11">
        <v>88899.87999999999</v>
      </c>
      <c r="H287" s="11">
        <v>1980.9580952381002</v>
      </c>
      <c r="I287" s="11">
        <f t="shared" si="4"/>
        <v>375</v>
      </c>
    </row>
    <row r="288" spans="1:9" x14ac:dyDescent="0.3">
      <c r="A288" s="9" t="s">
        <v>8</v>
      </c>
      <c r="B288" s="9" t="s">
        <v>28</v>
      </c>
      <c r="C288" s="9" t="s">
        <v>16</v>
      </c>
      <c r="D288" s="10" t="s">
        <v>17</v>
      </c>
      <c r="E288" s="11">
        <v>0</v>
      </c>
      <c r="F288" s="11">
        <v>0</v>
      </c>
      <c r="G288" s="11">
        <v>0</v>
      </c>
      <c r="H288" s="11">
        <v>0</v>
      </c>
      <c r="I288" s="11">
        <f t="shared" si="4"/>
        <v>0</v>
      </c>
    </row>
    <row r="289" spans="1:9" x14ac:dyDescent="0.3">
      <c r="A289" s="11" t="s">
        <v>8</v>
      </c>
      <c r="B289" s="11" t="s">
        <v>28</v>
      </c>
      <c r="C289" s="11" t="s">
        <v>18</v>
      </c>
      <c r="D289" s="12" t="s">
        <v>17</v>
      </c>
      <c r="E289" s="11">
        <v>20</v>
      </c>
      <c r="F289" s="11">
        <v>11500</v>
      </c>
      <c r="G289" s="11">
        <v>2736</v>
      </c>
      <c r="H289" s="11">
        <v>939.00000000000091</v>
      </c>
      <c r="I289" s="11">
        <f t="shared" si="4"/>
        <v>575</v>
      </c>
    </row>
    <row r="290" spans="1:9" x14ac:dyDescent="0.3">
      <c r="A290" s="9" t="s">
        <v>8</v>
      </c>
      <c r="B290" s="9" t="s">
        <v>28</v>
      </c>
      <c r="C290" s="9" t="s">
        <v>19</v>
      </c>
      <c r="D290" s="10" t="s">
        <v>17</v>
      </c>
      <c r="E290" s="11">
        <v>36</v>
      </c>
      <c r="F290" s="11">
        <v>41400</v>
      </c>
      <c r="G290" s="11">
        <v>13277.760000000002</v>
      </c>
      <c r="H290" s="11">
        <v>3013.0971428571465</v>
      </c>
      <c r="I290" s="11">
        <f t="shared" si="4"/>
        <v>1150</v>
      </c>
    </row>
    <row r="291" spans="1:9" x14ac:dyDescent="0.3">
      <c r="A291" s="11" t="s">
        <v>8</v>
      </c>
      <c r="B291" s="11" t="s">
        <v>28</v>
      </c>
      <c r="C291" s="11" t="s">
        <v>21</v>
      </c>
      <c r="D291" s="12" t="s">
        <v>11</v>
      </c>
      <c r="E291" s="11">
        <v>380</v>
      </c>
      <c r="F291" s="11">
        <v>456000</v>
      </c>
      <c r="G291" s="11">
        <v>197460.99999999997</v>
      </c>
      <c r="H291" s="11">
        <v>12311.380952380976</v>
      </c>
      <c r="I291" s="11">
        <f t="shared" si="4"/>
        <v>1200</v>
      </c>
    </row>
    <row r="292" spans="1:9" x14ac:dyDescent="0.3">
      <c r="A292" s="9" t="s">
        <v>8</v>
      </c>
      <c r="B292" s="9" t="s">
        <v>28</v>
      </c>
      <c r="C292" s="9" t="s">
        <v>22</v>
      </c>
      <c r="D292" s="10" t="s">
        <v>23</v>
      </c>
      <c r="E292" s="11">
        <v>4</v>
      </c>
      <c r="F292" s="11">
        <v>796</v>
      </c>
      <c r="G292" s="11">
        <v>200</v>
      </c>
      <c r="H292" s="11">
        <v>28.380952380952408</v>
      </c>
      <c r="I292" s="11">
        <f t="shared" si="4"/>
        <v>199</v>
      </c>
    </row>
    <row r="293" spans="1:9" x14ac:dyDescent="0.3">
      <c r="A293" s="11" t="s">
        <v>8</v>
      </c>
      <c r="B293" s="11" t="s">
        <v>28</v>
      </c>
      <c r="C293" s="11" t="s">
        <v>24</v>
      </c>
      <c r="D293" s="12" t="s">
        <v>23</v>
      </c>
      <c r="E293" s="11">
        <v>60</v>
      </c>
      <c r="F293" s="11">
        <v>27000</v>
      </c>
      <c r="G293" s="11">
        <v>13800</v>
      </c>
      <c r="H293" s="11">
        <v>628.57142857142935</v>
      </c>
      <c r="I293" s="11">
        <f t="shared" si="4"/>
        <v>450</v>
      </c>
    </row>
    <row r="294" spans="1:9" x14ac:dyDescent="0.3">
      <c r="A294" s="9" t="s">
        <v>8</v>
      </c>
      <c r="B294" s="9" t="s">
        <v>28</v>
      </c>
      <c r="C294" s="9" t="s">
        <v>12</v>
      </c>
      <c r="D294" s="10" t="s">
        <v>11</v>
      </c>
      <c r="E294" s="11">
        <v>4</v>
      </c>
      <c r="F294" s="11">
        <v>2400</v>
      </c>
      <c r="G294" s="11">
        <v>604</v>
      </c>
      <c r="H294" s="11">
        <v>85.523809523809632</v>
      </c>
      <c r="I294" s="11">
        <f t="shared" si="4"/>
        <v>600</v>
      </c>
    </row>
    <row r="295" spans="1:9" x14ac:dyDescent="0.3">
      <c r="A295" s="11" t="s">
        <v>8</v>
      </c>
      <c r="B295" s="11" t="s">
        <v>28</v>
      </c>
      <c r="C295" s="11" t="s">
        <v>13</v>
      </c>
      <c r="D295" s="12" t="s">
        <v>14</v>
      </c>
      <c r="E295" s="11">
        <v>936</v>
      </c>
      <c r="F295" s="11">
        <v>351000</v>
      </c>
      <c r="G295" s="11">
        <v>239616.55999999994</v>
      </c>
      <c r="H295" s="11">
        <v>5303.9733333333425</v>
      </c>
      <c r="I295" s="11">
        <f t="shared" si="4"/>
        <v>375</v>
      </c>
    </row>
    <row r="296" spans="1:9" x14ac:dyDescent="0.3">
      <c r="A296" s="9" t="s">
        <v>8</v>
      </c>
      <c r="B296" s="9" t="s">
        <v>28</v>
      </c>
      <c r="C296" s="9" t="s">
        <v>18</v>
      </c>
      <c r="D296" s="10" t="s">
        <v>17</v>
      </c>
      <c r="E296" s="11">
        <v>16</v>
      </c>
      <c r="F296" s="11">
        <v>9200</v>
      </c>
      <c r="G296" s="11">
        <v>2016</v>
      </c>
      <c r="H296" s="11">
        <v>769.71428571428623</v>
      </c>
      <c r="I296" s="11">
        <f t="shared" si="4"/>
        <v>575</v>
      </c>
    </row>
    <row r="297" spans="1:9" x14ac:dyDescent="0.3">
      <c r="A297" s="11" t="s">
        <v>8</v>
      </c>
      <c r="B297" s="11" t="s">
        <v>28</v>
      </c>
      <c r="C297" s="11" t="s">
        <v>19</v>
      </c>
      <c r="D297" s="12" t="s">
        <v>17</v>
      </c>
      <c r="E297" s="11">
        <v>104</v>
      </c>
      <c r="F297" s="11">
        <v>119600</v>
      </c>
      <c r="G297" s="11">
        <v>38389.320000000007</v>
      </c>
      <c r="H297" s="11">
        <v>8701.1442857142974</v>
      </c>
      <c r="I297" s="11">
        <f t="shared" si="4"/>
        <v>1150</v>
      </c>
    </row>
    <row r="298" spans="1:9" x14ac:dyDescent="0.3">
      <c r="A298" s="9" t="s">
        <v>8</v>
      </c>
      <c r="B298" s="9" t="s">
        <v>28</v>
      </c>
      <c r="C298" s="9" t="s">
        <v>20</v>
      </c>
      <c r="D298" s="10" t="s">
        <v>14</v>
      </c>
      <c r="E298" s="11">
        <v>4</v>
      </c>
      <c r="F298" s="11">
        <v>3000</v>
      </c>
      <c r="G298" s="11">
        <v>1404</v>
      </c>
      <c r="H298" s="11">
        <v>76</v>
      </c>
      <c r="I298" s="11">
        <f t="shared" si="4"/>
        <v>750</v>
      </c>
    </row>
    <row r="299" spans="1:9" x14ac:dyDescent="0.3">
      <c r="A299" s="11" t="s">
        <v>8</v>
      </c>
      <c r="B299" s="11" t="s">
        <v>28</v>
      </c>
      <c r="C299" s="11" t="s">
        <v>21</v>
      </c>
      <c r="D299" s="12" t="s">
        <v>11</v>
      </c>
      <c r="E299" s="11">
        <v>380</v>
      </c>
      <c r="F299" s="11">
        <v>456000</v>
      </c>
      <c r="G299" s="11">
        <v>196411.08</v>
      </c>
      <c r="H299" s="11">
        <v>12361.377142857149</v>
      </c>
      <c r="I299" s="11">
        <f t="shared" si="4"/>
        <v>1200</v>
      </c>
    </row>
    <row r="300" spans="1:9" x14ac:dyDescent="0.3">
      <c r="A300" s="9" t="s">
        <v>8</v>
      </c>
      <c r="B300" s="9" t="s">
        <v>28</v>
      </c>
      <c r="C300" s="9" t="s">
        <v>22</v>
      </c>
      <c r="D300" s="10" t="s">
        <v>23</v>
      </c>
      <c r="E300" s="11">
        <v>4</v>
      </c>
      <c r="F300" s="11">
        <v>796</v>
      </c>
      <c r="G300" s="11">
        <v>200</v>
      </c>
      <c r="H300" s="11">
        <v>28.380952380952408</v>
      </c>
      <c r="I300" s="11">
        <f t="shared" si="4"/>
        <v>199</v>
      </c>
    </row>
    <row r="301" spans="1:9" x14ac:dyDescent="0.3">
      <c r="A301" s="11" t="s">
        <v>8</v>
      </c>
      <c r="B301" s="11" t="s">
        <v>28</v>
      </c>
      <c r="C301" s="11" t="s">
        <v>24</v>
      </c>
      <c r="D301" s="12" t="s">
        <v>23</v>
      </c>
      <c r="E301" s="11">
        <v>112</v>
      </c>
      <c r="F301" s="11">
        <v>50400</v>
      </c>
      <c r="G301" s="11">
        <v>25885.759999999998</v>
      </c>
      <c r="H301" s="11">
        <v>1167.344761904762</v>
      </c>
      <c r="I301" s="11">
        <f t="shared" si="4"/>
        <v>450</v>
      </c>
    </row>
    <row r="302" spans="1:9" x14ac:dyDescent="0.3">
      <c r="A302" s="9" t="s">
        <v>8</v>
      </c>
      <c r="B302" s="9" t="s">
        <v>28</v>
      </c>
      <c r="C302" s="9" t="s">
        <v>25</v>
      </c>
      <c r="D302" s="10" t="s">
        <v>23</v>
      </c>
      <c r="E302" s="11">
        <v>4</v>
      </c>
      <c r="F302" s="11">
        <v>3600</v>
      </c>
      <c r="G302" s="11">
        <v>1604</v>
      </c>
      <c r="H302" s="11">
        <v>304.47457627118638</v>
      </c>
      <c r="I302" s="11">
        <f t="shared" si="4"/>
        <v>900</v>
      </c>
    </row>
    <row r="303" spans="1:9" x14ac:dyDescent="0.3">
      <c r="A303" s="11" t="s">
        <v>8</v>
      </c>
      <c r="B303" s="11" t="s">
        <v>28</v>
      </c>
      <c r="C303" s="11" t="s">
        <v>26</v>
      </c>
      <c r="D303" s="12" t="s">
        <v>27</v>
      </c>
      <c r="E303" s="11">
        <v>4</v>
      </c>
      <c r="F303" s="11">
        <v>9400</v>
      </c>
      <c r="G303" s="11">
        <v>2600</v>
      </c>
      <c r="H303" s="11">
        <v>728.57142857142935</v>
      </c>
      <c r="I303" s="11">
        <f t="shared" si="4"/>
        <v>2350</v>
      </c>
    </row>
    <row r="304" spans="1:9" x14ac:dyDescent="0.3">
      <c r="A304" s="9" t="s">
        <v>8</v>
      </c>
      <c r="B304" s="9" t="s">
        <v>28</v>
      </c>
      <c r="C304" s="9" t="s">
        <v>10</v>
      </c>
      <c r="D304" s="10" t="s">
        <v>11</v>
      </c>
      <c r="E304" s="11">
        <v>4</v>
      </c>
      <c r="F304" s="11">
        <v>1340</v>
      </c>
      <c r="G304" s="11">
        <v>144</v>
      </c>
      <c r="H304" s="11">
        <v>56.952380952380963</v>
      </c>
      <c r="I304" s="11">
        <f t="shared" si="4"/>
        <v>335</v>
      </c>
    </row>
    <row r="305" spans="1:9" x14ac:dyDescent="0.3">
      <c r="A305" s="11" t="s">
        <v>8</v>
      </c>
      <c r="B305" s="11" t="s">
        <v>28</v>
      </c>
      <c r="C305" s="11" t="s">
        <v>12</v>
      </c>
      <c r="D305" s="12" t="s">
        <v>11</v>
      </c>
      <c r="E305" s="11">
        <v>16</v>
      </c>
      <c r="F305" s="11">
        <v>9600</v>
      </c>
      <c r="G305" s="11">
        <v>2672.5599999999995</v>
      </c>
      <c r="H305" s="11">
        <v>329.87809523809574</v>
      </c>
      <c r="I305" s="11">
        <f t="shared" si="4"/>
        <v>600</v>
      </c>
    </row>
    <row r="306" spans="1:9" x14ac:dyDescent="0.3">
      <c r="A306" s="9" t="s">
        <v>8</v>
      </c>
      <c r="B306" s="9" t="s">
        <v>28</v>
      </c>
      <c r="C306" s="9" t="s">
        <v>13</v>
      </c>
      <c r="D306" s="10" t="s">
        <v>14</v>
      </c>
      <c r="E306" s="11">
        <v>944</v>
      </c>
      <c r="F306" s="11">
        <v>354000</v>
      </c>
      <c r="G306" s="11">
        <v>241793.47999999998</v>
      </c>
      <c r="H306" s="11">
        <v>5343.1676190476282</v>
      </c>
      <c r="I306" s="11">
        <f t="shared" si="4"/>
        <v>375</v>
      </c>
    </row>
    <row r="307" spans="1:9" x14ac:dyDescent="0.3">
      <c r="A307" s="11" t="s">
        <v>8</v>
      </c>
      <c r="B307" s="11" t="s">
        <v>28</v>
      </c>
      <c r="C307" s="11" t="s">
        <v>16</v>
      </c>
      <c r="D307" s="12" t="s">
        <v>17</v>
      </c>
      <c r="E307" s="11">
        <v>8</v>
      </c>
      <c r="F307" s="11">
        <v>2392</v>
      </c>
      <c r="G307" s="11">
        <v>600</v>
      </c>
      <c r="H307" s="11">
        <v>192.00000000000023</v>
      </c>
      <c r="I307" s="11">
        <f t="shared" si="4"/>
        <v>299</v>
      </c>
    </row>
    <row r="308" spans="1:9" x14ac:dyDescent="0.3">
      <c r="A308" s="9" t="s">
        <v>8</v>
      </c>
      <c r="B308" s="9" t="s">
        <v>28</v>
      </c>
      <c r="C308" s="9" t="s">
        <v>18</v>
      </c>
      <c r="D308" s="10" t="s">
        <v>17</v>
      </c>
      <c r="E308" s="11">
        <v>12</v>
      </c>
      <c r="F308" s="11">
        <v>6900</v>
      </c>
      <c r="G308" s="11">
        <v>1672.3199999999997</v>
      </c>
      <c r="H308" s="11">
        <v>560.10857142857185</v>
      </c>
      <c r="I308" s="11">
        <f t="shared" si="4"/>
        <v>575</v>
      </c>
    </row>
    <row r="309" spans="1:9" x14ac:dyDescent="0.3">
      <c r="A309" s="11" t="s">
        <v>8</v>
      </c>
      <c r="B309" s="11" t="s">
        <v>28</v>
      </c>
      <c r="C309" s="11" t="s">
        <v>19</v>
      </c>
      <c r="D309" s="12" t="s">
        <v>17</v>
      </c>
      <c r="E309" s="11">
        <v>64</v>
      </c>
      <c r="F309" s="11">
        <v>73600</v>
      </c>
      <c r="G309" s="11">
        <v>23526.639999999999</v>
      </c>
      <c r="H309" s="11">
        <v>5365.0028571428629</v>
      </c>
      <c r="I309" s="11">
        <f t="shared" si="4"/>
        <v>1150</v>
      </c>
    </row>
    <row r="310" spans="1:9" x14ac:dyDescent="0.3">
      <c r="A310" s="9" t="s">
        <v>8</v>
      </c>
      <c r="B310" s="9" t="s">
        <v>28</v>
      </c>
      <c r="C310" s="9" t="s">
        <v>20</v>
      </c>
      <c r="D310" s="10" t="s">
        <v>14</v>
      </c>
      <c r="E310" s="11">
        <v>4</v>
      </c>
      <c r="F310" s="11">
        <v>3000</v>
      </c>
      <c r="G310" s="11">
        <v>1404</v>
      </c>
      <c r="H310" s="11">
        <v>76</v>
      </c>
      <c r="I310" s="11">
        <f t="shared" si="4"/>
        <v>750</v>
      </c>
    </row>
    <row r="311" spans="1:9" x14ac:dyDescent="0.3">
      <c r="A311" s="11" t="s">
        <v>8</v>
      </c>
      <c r="B311" s="11" t="s">
        <v>28</v>
      </c>
      <c r="C311" s="11" t="s">
        <v>21</v>
      </c>
      <c r="D311" s="12" t="s">
        <v>11</v>
      </c>
      <c r="E311" s="11">
        <v>440</v>
      </c>
      <c r="F311" s="11">
        <v>528000</v>
      </c>
      <c r="G311" s="11">
        <v>227596.03999999998</v>
      </c>
      <c r="H311" s="11">
        <v>14304.950476190483</v>
      </c>
      <c r="I311" s="11">
        <f t="shared" si="4"/>
        <v>1200</v>
      </c>
    </row>
    <row r="312" spans="1:9" x14ac:dyDescent="0.3">
      <c r="A312" s="9" t="s">
        <v>8</v>
      </c>
      <c r="B312" s="9" t="s">
        <v>28</v>
      </c>
      <c r="C312" s="9" t="s">
        <v>22</v>
      </c>
      <c r="D312" s="10" t="s">
        <v>23</v>
      </c>
      <c r="E312" s="11">
        <v>8</v>
      </c>
      <c r="F312" s="11">
        <v>1592</v>
      </c>
      <c r="G312" s="11">
        <v>400</v>
      </c>
      <c r="H312" s="11">
        <v>56.761904761904816</v>
      </c>
      <c r="I312" s="11">
        <f t="shared" si="4"/>
        <v>199</v>
      </c>
    </row>
    <row r="313" spans="1:9" x14ac:dyDescent="0.3">
      <c r="A313" s="11" t="s">
        <v>8</v>
      </c>
      <c r="B313" s="11" t="s">
        <v>28</v>
      </c>
      <c r="C313" s="11" t="s">
        <v>24</v>
      </c>
      <c r="D313" s="12" t="s">
        <v>23</v>
      </c>
      <c r="E313" s="11">
        <v>120</v>
      </c>
      <c r="F313" s="11">
        <v>54000</v>
      </c>
      <c r="G313" s="11">
        <v>27600</v>
      </c>
      <c r="H313" s="11">
        <v>1257.1428571428587</v>
      </c>
      <c r="I313" s="11">
        <f t="shared" si="4"/>
        <v>450</v>
      </c>
    </row>
    <row r="314" spans="1:9" x14ac:dyDescent="0.3">
      <c r="A314" s="9" t="s">
        <v>8</v>
      </c>
      <c r="B314" s="9" t="s">
        <v>28</v>
      </c>
      <c r="C314" s="9" t="s">
        <v>25</v>
      </c>
      <c r="D314" s="10" t="s">
        <v>23</v>
      </c>
      <c r="E314" s="11">
        <v>4</v>
      </c>
      <c r="F314" s="11">
        <v>3600</v>
      </c>
      <c r="G314" s="11">
        <v>1604</v>
      </c>
      <c r="H314" s="11">
        <v>304.47457627118638</v>
      </c>
      <c r="I314" s="11">
        <f t="shared" si="4"/>
        <v>900</v>
      </c>
    </row>
    <row r="315" spans="1:9" x14ac:dyDescent="0.3">
      <c r="A315" s="11" t="s">
        <v>8</v>
      </c>
      <c r="B315" s="11" t="s">
        <v>28</v>
      </c>
      <c r="C315" s="11" t="s">
        <v>26</v>
      </c>
      <c r="D315" s="12" t="s">
        <v>27</v>
      </c>
      <c r="E315" s="11">
        <v>4</v>
      </c>
      <c r="F315" s="11">
        <v>9400</v>
      </c>
      <c r="G315" s="11">
        <v>2600</v>
      </c>
      <c r="H315" s="11">
        <v>728.57142857142935</v>
      </c>
      <c r="I315" s="11">
        <f t="shared" si="4"/>
        <v>2350</v>
      </c>
    </row>
    <row r="316" spans="1:9" x14ac:dyDescent="0.3">
      <c r="A316" s="9" t="s">
        <v>8</v>
      </c>
      <c r="B316" s="9" t="s">
        <v>28</v>
      </c>
      <c r="C316" s="9" t="s">
        <v>12</v>
      </c>
      <c r="D316" s="10" t="s">
        <v>11</v>
      </c>
      <c r="E316" s="11">
        <v>0</v>
      </c>
      <c r="F316" s="11">
        <v>0</v>
      </c>
      <c r="G316" s="11">
        <v>0</v>
      </c>
      <c r="H316" s="11">
        <v>0</v>
      </c>
      <c r="I316" s="11">
        <f t="shared" si="4"/>
        <v>0</v>
      </c>
    </row>
    <row r="317" spans="1:9" x14ac:dyDescent="0.3">
      <c r="A317" s="11" t="s">
        <v>8</v>
      </c>
      <c r="B317" s="11" t="s">
        <v>28</v>
      </c>
      <c r="C317" s="11" t="s">
        <v>13</v>
      </c>
      <c r="D317" s="12" t="s">
        <v>14</v>
      </c>
      <c r="E317" s="11">
        <v>368</v>
      </c>
      <c r="F317" s="11">
        <v>138000</v>
      </c>
      <c r="G317" s="11">
        <v>94411.16</v>
      </c>
      <c r="H317" s="11">
        <v>2075.6590476190468</v>
      </c>
      <c r="I317" s="11">
        <f t="shared" si="4"/>
        <v>375</v>
      </c>
    </row>
    <row r="318" spans="1:9" x14ac:dyDescent="0.3">
      <c r="A318" s="9" t="s">
        <v>8</v>
      </c>
      <c r="B318" s="9" t="s">
        <v>28</v>
      </c>
      <c r="C318" s="9" t="s">
        <v>18</v>
      </c>
      <c r="D318" s="10" t="s">
        <v>17</v>
      </c>
      <c r="E318" s="11">
        <v>4</v>
      </c>
      <c r="F318" s="11">
        <v>2300</v>
      </c>
      <c r="G318" s="11">
        <v>504</v>
      </c>
      <c r="H318" s="11">
        <v>192.42857142857156</v>
      </c>
      <c r="I318" s="11">
        <f t="shared" si="4"/>
        <v>575</v>
      </c>
    </row>
    <row r="319" spans="1:9" x14ac:dyDescent="0.3">
      <c r="A319" s="11" t="s">
        <v>8</v>
      </c>
      <c r="B319" s="11" t="s">
        <v>28</v>
      </c>
      <c r="C319" s="11" t="s">
        <v>19</v>
      </c>
      <c r="D319" s="12" t="s">
        <v>17</v>
      </c>
      <c r="E319" s="11">
        <v>104</v>
      </c>
      <c r="F319" s="11">
        <v>119600</v>
      </c>
      <c r="G319" s="11">
        <v>38248.44</v>
      </c>
      <c r="H319" s="11">
        <v>8716.2385714285774</v>
      </c>
      <c r="I319" s="11">
        <f t="shared" si="4"/>
        <v>1150</v>
      </c>
    </row>
    <row r="320" spans="1:9" x14ac:dyDescent="0.3">
      <c r="A320" s="9" t="s">
        <v>8</v>
      </c>
      <c r="B320" s="9" t="s">
        <v>28</v>
      </c>
      <c r="C320" s="9" t="s">
        <v>21</v>
      </c>
      <c r="D320" s="10" t="s">
        <v>11</v>
      </c>
      <c r="E320" s="11">
        <v>472</v>
      </c>
      <c r="F320" s="11">
        <v>566400</v>
      </c>
      <c r="G320" s="11">
        <v>244997.95999999996</v>
      </c>
      <c r="H320" s="11">
        <v>15304.859047619044</v>
      </c>
      <c r="I320" s="11">
        <f t="shared" si="4"/>
        <v>1200</v>
      </c>
    </row>
    <row r="321" spans="1:9" x14ac:dyDescent="0.3">
      <c r="A321" s="11" t="s">
        <v>8</v>
      </c>
      <c r="B321" s="11" t="s">
        <v>28</v>
      </c>
      <c r="C321" s="11" t="s">
        <v>24</v>
      </c>
      <c r="D321" s="12" t="s">
        <v>23</v>
      </c>
      <c r="E321" s="11">
        <v>88</v>
      </c>
      <c r="F321" s="11">
        <v>39600</v>
      </c>
      <c r="G321" s="11">
        <v>20281.919999999998</v>
      </c>
      <c r="H321" s="11">
        <v>919.90857142857203</v>
      </c>
      <c r="I321" s="11">
        <f t="shared" si="4"/>
        <v>450</v>
      </c>
    </row>
    <row r="322" spans="1:9" x14ac:dyDescent="0.3">
      <c r="A322" s="9" t="s">
        <v>8</v>
      </c>
      <c r="B322" s="9" t="s">
        <v>28</v>
      </c>
      <c r="C322" s="9" t="s">
        <v>25</v>
      </c>
      <c r="D322" s="10" t="s">
        <v>23</v>
      </c>
      <c r="E322" s="11">
        <v>4</v>
      </c>
      <c r="F322" s="11">
        <v>3600</v>
      </c>
      <c r="G322" s="11">
        <v>1604</v>
      </c>
      <c r="H322" s="11">
        <v>304.47457627118638</v>
      </c>
      <c r="I322" s="11">
        <f t="shared" si="4"/>
        <v>900</v>
      </c>
    </row>
    <row r="323" spans="1:9" x14ac:dyDescent="0.3">
      <c r="A323" s="11" t="s">
        <v>8</v>
      </c>
      <c r="B323" s="11" t="s">
        <v>28</v>
      </c>
      <c r="C323" s="11" t="s">
        <v>10</v>
      </c>
      <c r="D323" s="12" t="s">
        <v>11</v>
      </c>
      <c r="E323" s="11">
        <v>4</v>
      </c>
      <c r="F323" s="11">
        <v>1340</v>
      </c>
      <c r="G323" s="11">
        <v>144</v>
      </c>
      <c r="H323" s="11">
        <v>56.952380952380963</v>
      </c>
      <c r="I323" s="11">
        <f t="shared" ref="I323:I371" si="5">IFERROR((F323/E323),0)</f>
        <v>335</v>
      </c>
    </row>
    <row r="324" spans="1:9" x14ac:dyDescent="0.3">
      <c r="A324" s="9" t="s">
        <v>8</v>
      </c>
      <c r="B324" s="9" t="s">
        <v>28</v>
      </c>
      <c r="C324" s="9" t="s">
        <v>12</v>
      </c>
      <c r="D324" s="10" t="s">
        <v>11</v>
      </c>
      <c r="E324" s="11">
        <v>12</v>
      </c>
      <c r="F324" s="11">
        <v>7200</v>
      </c>
      <c r="G324" s="11">
        <v>1812</v>
      </c>
      <c r="H324" s="11">
        <v>256.57142857142844</v>
      </c>
      <c r="I324" s="11">
        <f t="shared" si="5"/>
        <v>600</v>
      </c>
    </row>
    <row r="325" spans="1:9" x14ac:dyDescent="0.3">
      <c r="A325" s="11" t="s">
        <v>8</v>
      </c>
      <c r="B325" s="11" t="s">
        <v>28</v>
      </c>
      <c r="C325" s="11" t="s">
        <v>13</v>
      </c>
      <c r="D325" s="12" t="s">
        <v>14</v>
      </c>
      <c r="E325" s="11">
        <v>252</v>
      </c>
      <c r="F325" s="11">
        <v>94500</v>
      </c>
      <c r="G325" s="11">
        <v>64465.56</v>
      </c>
      <c r="H325" s="11">
        <v>1430.2114285714306</v>
      </c>
      <c r="I325" s="11">
        <f t="shared" si="5"/>
        <v>375</v>
      </c>
    </row>
    <row r="326" spans="1:9" x14ac:dyDescent="0.3">
      <c r="A326" s="9" t="s">
        <v>8</v>
      </c>
      <c r="B326" s="9" t="s">
        <v>28</v>
      </c>
      <c r="C326" s="9" t="s">
        <v>18</v>
      </c>
      <c r="D326" s="10" t="s">
        <v>17</v>
      </c>
      <c r="E326" s="11">
        <v>20</v>
      </c>
      <c r="F326" s="11">
        <v>11500</v>
      </c>
      <c r="G326" s="11">
        <v>2760.5200000000041</v>
      </c>
      <c r="H326" s="11">
        <v>936.37285714285736</v>
      </c>
      <c r="I326" s="11">
        <f t="shared" si="5"/>
        <v>575</v>
      </c>
    </row>
    <row r="327" spans="1:9" x14ac:dyDescent="0.3">
      <c r="A327" s="11" t="s">
        <v>8</v>
      </c>
      <c r="B327" s="11" t="s">
        <v>28</v>
      </c>
      <c r="C327" s="11" t="s">
        <v>19</v>
      </c>
      <c r="D327" s="12" t="s">
        <v>17</v>
      </c>
      <c r="E327" s="11">
        <v>60</v>
      </c>
      <c r="F327" s="11">
        <v>69000</v>
      </c>
      <c r="G327" s="11">
        <v>22082.680000000008</v>
      </c>
      <c r="H327" s="11">
        <v>5026.8557142857171</v>
      </c>
      <c r="I327" s="11">
        <f t="shared" si="5"/>
        <v>1150</v>
      </c>
    </row>
    <row r="328" spans="1:9" x14ac:dyDescent="0.3">
      <c r="A328" s="9" t="s">
        <v>8</v>
      </c>
      <c r="B328" s="9" t="s">
        <v>28</v>
      </c>
      <c r="C328" s="9" t="s">
        <v>20</v>
      </c>
      <c r="D328" s="10" t="s">
        <v>14</v>
      </c>
      <c r="E328" s="11">
        <v>4</v>
      </c>
      <c r="F328" s="11">
        <v>3000</v>
      </c>
      <c r="G328" s="11">
        <v>1404</v>
      </c>
      <c r="H328" s="11">
        <v>76</v>
      </c>
      <c r="I328" s="11">
        <f t="shared" si="5"/>
        <v>750</v>
      </c>
    </row>
    <row r="329" spans="1:9" x14ac:dyDescent="0.3">
      <c r="A329" s="11" t="s">
        <v>8</v>
      </c>
      <c r="B329" s="11" t="s">
        <v>28</v>
      </c>
      <c r="C329" s="11" t="s">
        <v>21</v>
      </c>
      <c r="D329" s="12" t="s">
        <v>11</v>
      </c>
      <c r="E329" s="11">
        <v>408</v>
      </c>
      <c r="F329" s="11">
        <v>489600</v>
      </c>
      <c r="G329" s="11">
        <v>210850.32</v>
      </c>
      <c r="H329" s="11">
        <v>13273.794285714277</v>
      </c>
      <c r="I329" s="11">
        <f t="shared" si="5"/>
        <v>1200</v>
      </c>
    </row>
    <row r="330" spans="1:9" x14ac:dyDescent="0.3">
      <c r="A330" s="9" t="s">
        <v>8</v>
      </c>
      <c r="B330" s="9" t="s">
        <v>28</v>
      </c>
      <c r="C330" s="9" t="s">
        <v>22</v>
      </c>
      <c r="D330" s="10" t="s">
        <v>23</v>
      </c>
      <c r="E330" s="11">
        <v>8</v>
      </c>
      <c r="F330" s="11">
        <v>1592</v>
      </c>
      <c r="G330" s="11">
        <v>400</v>
      </c>
      <c r="H330" s="11">
        <v>56.761904761904816</v>
      </c>
      <c r="I330" s="11">
        <f t="shared" si="5"/>
        <v>199</v>
      </c>
    </row>
    <row r="331" spans="1:9" x14ac:dyDescent="0.3">
      <c r="A331" s="11" t="s">
        <v>8</v>
      </c>
      <c r="B331" s="11" t="s">
        <v>28</v>
      </c>
      <c r="C331" s="11" t="s">
        <v>24</v>
      </c>
      <c r="D331" s="12" t="s">
        <v>23</v>
      </c>
      <c r="E331" s="11">
        <v>80</v>
      </c>
      <c r="F331" s="11">
        <v>36000</v>
      </c>
      <c r="G331" s="11">
        <v>18400</v>
      </c>
      <c r="H331" s="11">
        <v>838.09523809524035</v>
      </c>
      <c r="I331" s="11">
        <f t="shared" si="5"/>
        <v>450</v>
      </c>
    </row>
    <row r="332" spans="1:9" x14ac:dyDescent="0.3">
      <c r="A332" s="9" t="s">
        <v>8</v>
      </c>
      <c r="B332" s="9" t="s">
        <v>28</v>
      </c>
      <c r="C332" s="9" t="s">
        <v>12</v>
      </c>
      <c r="D332" s="10" t="s">
        <v>11</v>
      </c>
      <c r="E332" s="11">
        <v>4</v>
      </c>
      <c r="F332" s="11">
        <v>2400</v>
      </c>
      <c r="G332" s="11">
        <v>775.04</v>
      </c>
      <c r="H332" s="11">
        <v>77.379047619047697</v>
      </c>
      <c r="I332" s="11">
        <f t="shared" si="5"/>
        <v>600</v>
      </c>
    </row>
    <row r="333" spans="1:9" x14ac:dyDescent="0.3">
      <c r="A333" s="11" t="s">
        <v>8</v>
      </c>
      <c r="B333" s="11" t="s">
        <v>28</v>
      </c>
      <c r="C333" s="11" t="s">
        <v>13</v>
      </c>
      <c r="D333" s="12" t="s">
        <v>14</v>
      </c>
      <c r="E333" s="11">
        <v>300</v>
      </c>
      <c r="F333" s="11">
        <v>112500</v>
      </c>
      <c r="G333" s="11">
        <v>76637.040000000008</v>
      </c>
      <c r="H333" s="11">
        <v>1707.760000000002</v>
      </c>
      <c r="I333" s="11">
        <f t="shared" si="5"/>
        <v>375</v>
      </c>
    </row>
    <row r="334" spans="1:9" x14ac:dyDescent="0.3">
      <c r="A334" s="9" t="s">
        <v>8</v>
      </c>
      <c r="B334" s="9" t="s">
        <v>28</v>
      </c>
      <c r="C334" s="9" t="s">
        <v>15</v>
      </c>
      <c r="D334" s="10" t="s">
        <v>14</v>
      </c>
      <c r="E334" s="11">
        <v>4</v>
      </c>
      <c r="F334" s="11">
        <v>660</v>
      </c>
      <c r="G334" s="11">
        <v>120</v>
      </c>
      <c r="H334" s="11">
        <v>25.714285714285779</v>
      </c>
      <c r="I334" s="11">
        <f t="shared" si="5"/>
        <v>165</v>
      </c>
    </row>
    <row r="335" spans="1:9" x14ac:dyDescent="0.3">
      <c r="A335" s="11" t="s">
        <v>8</v>
      </c>
      <c r="B335" s="11" t="s">
        <v>28</v>
      </c>
      <c r="C335" s="11" t="s">
        <v>18</v>
      </c>
      <c r="D335" s="12" t="s">
        <v>17</v>
      </c>
      <c r="E335" s="11">
        <v>12</v>
      </c>
      <c r="F335" s="11">
        <v>6900</v>
      </c>
      <c r="G335" s="11">
        <v>1512</v>
      </c>
      <c r="H335" s="11">
        <v>577.28571428571468</v>
      </c>
      <c r="I335" s="11">
        <f t="shared" si="5"/>
        <v>575</v>
      </c>
    </row>
    <row r="336" spans="1:9" x14ac:dyDescent="0.3">
      <c r="A336" s="9" t="s">
        <v>8</v>
      </c>
      <c r="B336" s="9" t="s">
        <v>28</v>
      </c>
      <c r="C336" s="9" t="s">
        <v>19</v>
      </c>
      <c r="D336" s="10" t="s">
        <v>17</v>
      </c>
      <c r="E336" s="11">
        <v>96</v>
      </c>
      <c r="F336" s="11">
        <v>110400</v>
      </c>
      <c r="G336" s="11">
        <v>35078.680000000008</v>
      </c>
      <c r="H336" s="11">
        <v>8070.1414285714272</v>
      </c>
      <c r="I336" s="11">
        <f t="shared" si="5"/>
        <v>1150</v>
      </c>
    </row>
    <row r="337" spans="1:9" x14ac:dyDescent="0.3">
      <c r="A337" s="11" t="s">
        <v>8</v>
      </c>
      <c r="B337" s="11" t="s">
        <v>28</v>
      </c>
      <c r="C337" s="11" t="s">
        <v>21</v>
      </c>
      <c r="D337" s="12" t="s">
        <v>11</v>
      </c>
      <c r="E337" s="11">
        <v>500</v>
      </c>
      <c r="F337" s="11">
        <v>600000</v>
      </c>
      <c r="G337" s="11">
        <v>258780.99999999988</v>
      </c>
      <c r="H337" s="11">
        <v>16248.523809523846</v>
      </c>
      <c r="I337" s="11">
        <f t="shared" si="5"/>
        <v>1200</v>
      </c>
    </row>
    <row r="338" spans="1:9" x14ac:dyDescent="0.3">
      <c r="A338" s="9" t="s">
        <v>8</v>
      </c>
      <c r="B338" s="9" t="s">
        <v>28</v>
      </c>
      <c r="C338" s="9" t="s">
        <v>24</v>
      </c>
      <c r="D338" s="10" t="s">
        <v>23</v>
      </c>
      <c r="E338" s="11">
        <v>80</v>
      </c>
      <c r="F338" s="11">
        <v>36000</v>
      </c>
      <c r="G338" s="11">
        <v>18525.760000000002</v>
      </c>
      <c r="H338" s="11">
        <v>832.10666666666657</v>
      </c>
      <c r="I338" s="11">
        <f t="shared" si="5"/>
        <v>450</v>
      </c>
    </row>
    <row r="339" spans="1:9" x14ac:dyDescent="0.3">
      <c r="A339" s="11" t="s">
        <v>8</v>
      </c>
      <c r="B339" s="11" t="s">
        <v>28</v>
      </c>
      <c r="C339" s="11" t="s">
        <v>25</v>
      </c>
      <c r="D339" s="12" t="s">
        <v>23</v>
      </c>
      <c r="E339" s="11">
        <v>0</v>
      </c>
      <c r="F339" s="11">
        <v>0</v>
      </c>
      <c r="G339" s="11">
        <v>0</v>
      </c>
      <c r="H339" s="11">
        <v>0</v>
      </c>
      <c r="I339" s="11">
        <f t="shared" si="5"/>
        <v>0</v>
      </c>
    </row>
    <row r="340" spans="1:9" x14ac:dyDescent="0.3">
      <c r="A340" s="9" t="s">
        <v>8</v>
      </c>
      <c r="B340" s="9" t="s">
        <v>28</v>
      </c>
      <c r="C340" s="9" t="s">
        <v>12</v>
      </c>
      <c r="D340" s="10" t="s">
        <v>11</v>
      </c>
      <c r="E340" s="11">
        <v>8</v>
      </c>
      <c r="F340" s="11">
        <v>4800</v>
      </c>
      <c r="G340" s="11">
        <v>1208</v>
      </c>
      <c r="H340" s="11">
        <v>171.04761904761926</v>
      </c>
      <c r="I340" s="11">
        <f t="shared" si="5"/>
        <v>600</v>
      </c>
    </row>
    <row r="341" spans="1:9" x14ac:dyDescent="0.3">
      <c r="A341" s="11" t="s">
        <v>8</v>
      </c>
      <c r="B341" s="11" t="s">
        <v>28</v>
      </c>
      <c r="C341" s="11" t="s">
        <v>13</v>
      </c>
      <c r="D341" s="12" t="s">
        <v>14</v>
      </c>
      <c r="E341" s="11">
        <v>340</v>
      </c>
      <c r="F341" s="11">
        <v>127500</v>
      </c>
      <c r="G341" s="11">
        <v>87271</v>
      </c>
      <c r="H341" s="11">
        <v>1915.6666666666715</v>
      </c>
      <c r="I341" s="11">
        <f t="shared" si="5"/>
        <v>375</v>
      </c>
    </row>
    <row r="342" spans="1:9" x14ac:dyDescent="0.3">
      <c r="A342" s="9" t="s">
        <v>8</v>
      </c>
      <c r="B342" s="9" t="s">
        <v>28</v>
      </c>
      <c r="C342" s="9" t="s">
        <v>18</v>
      </c>
      <c r="D342" s="10" t="s">
        <v>17</v>
      </c>
      <c r="E342" s="11">
        <v>20</v>
      </c>
      <c r="F342" s="11">
        <v>11500</v>
      </c>
      <c r="G342" s="11">
        <v>2760.5200000000041</v>
      </c>
      <c r="H342" s="11">
        <v>936.37285714285736</v>
      </c>
      <c r="I342" s="11">
        <f t="shared" si="5"/>
        <v>575</v>
      </c>
    </row>
    <row r="343" spans="1:9" x14ac:dyDescent="0.3">
      <c r="A343" s="11" t="s">
        <v>8</v>
      </c>
      <c r="B343" s="11" t="s">
        <v>28</v>
      </c>
      <c r="C343" s="11" t="s">
        <v>19</v>
      </c>
      <c r="D343" s="12" t="s">
        <v>17</v>
      </c>
      <c r="E343" s="11">
        <v>104</v>
      </c>
      <c r="F343" s="11">
        <v>119600</v>
      </c>
      <c r="G343" s="11">
        <v>38530.199999999997</v>
      </c>
      <c r="H343" s="11">
        <v>8686.0500000000029</v>
      </c>
      <c r="I343" s="11">
        <f t="shared" si="5"/>
        <v>1150</v>
      </c>
    </row>
    <row r="344" spans="1:9" x14ac:dyDescent="0.3">
      <c r="A344" s="9" t="s">
        <v>8</v>
      </c>
      <c r="B344" s="9" t="s">
        <v>28</v>
      </c>
      <c r="C344" s="9" t="s">
        <v>20</v>
      </c>
      <c r="D344" s="10" t="s">
        <v>14</v>
      </c>
      <c r="E344" s="11">
        <v>8</v>
      </c>
      <c r="F344" s="11">
        <v>6000</v>
      </c>
      <c r="G344" s="11">
        <v>2808</v>
      </c>
      <c r="H344" s="11">
        <v>152</v>
      </c>
      <c r="I344" s="11">
        <f t="shared" si="5"/>
        <v>750</v>
      </c>
    </row>
    <row r="345" spans="1:9" x14ac:dyDescent="0.3">
      <c r="A345" s="11" t="s">
        <v>8</v>
      </c>
      <c r="B345" s="11" t="s">
        <v>28</v>
      </c>
      <c r="C345" s="11" t="s">
        <v>21</v>
      </c>
      <c r="D345" s="12" t="s">
        <v>11</v>
      </c>
      <c r="E345" s="11">
        <v>356</v>
      </c>
      <c r="F345" s="11">
        <v>427200</v>
      </c>
      <c r="G345" s="11">
        <v>184015.84</v>
      </c>
      <c r="H345" s="11">
        <v>11580.198095238098</v>
      </c>
      <c r="I345" s="11">
        <f t="shared" si="5"/>
        <v>1200</v>
      </c>
    </row>
    <row r="346" spans="1:9" x14ac:dyDescent="0.3">
      <c r="A346" s="9" t="s">
        <v>8</v>
      </c>
      <c r="B346" s="9" t="s">
        <v>28</v>
      </c>
      <c r="C346" s="9" t="s">
        <v>22</v>
      </c>
      <c r="D346" s="10" t="s">
        <v>23</v>
      </c>
      <c r="E346" s="11">
        <v>4</v>
      </c>
      <c r="F346" s="11">
        <v>796</v>
      </c>
      <c r="G346" s="11">
        <v>200</v>
      </c>
      <c r="H346" s="11">
        <v>28.380952380952408</v>
      </c>
      <c r="I346" s="11">
        <f t="shared" si="5"/>
        <v>199</v>
      </c>
    </row>
    <row r="347" spans="1:9" x14ac:dyDescent="0.3">
      <c r="A347" s="11" t="s">
        <v>8</v>
      </c>
      <c r="B347" s="11" t="s">
        <v>28</v>
      </c>
      <c r="C347" s="11" t="s">
        <v>24</v>
      </c>
      <c r="D347" s="12" t="s">
        <v>23</v>
      </c>
      <c r="E347" s="11">
        <v>104</v>
      </c>
      <c r="F347" s="11">
        <v>46800</v>
      </c>
      <c r="G347" s="11">
        <v>23920</v>
      </c>
      <c r="H347" s="11">
        <v>1089.5238095238092</v>
      </c>
      <c r="I347" s="11">
        <f t="shared" si="5"/>
        <v>450</v>
      </c>
    </row>
    <row r="348" spans="1:9" x14ac:dyDescent="0.3">
      <c r="A348" s="9" t="s">
        <v>8</v>
      </c>
      <c r="B348" s="9" t="s">
        <v>28</v>
      </c>
      <c r="C348" s="9" t="s">
        <v>12</v>
      </c>
      <c r="D348" s="10" t="s">
        <v>11</v>
      </c>
      <c r="E348" s="11">
        <v>12</v>
      </c>
      <c r="F348" s="11">
        <v>7200</v>
      </c>
      <c r="G348" s="11">
        <v>1812</v>
      </c>
      <c r="H348" s="11">
        <v>256.57142857142844</v>
      </c>
      <c r="I348" s="11">
        <f t="shared" si="5"/>
        <v>600</v>
      </c>
    </row>
    <row r="349" spans="1:9" x14ac:dyDescent="0.3">
      <c r="A349" s="11" t="s">
        <v>8</v>
      </c>
      <c r="B349" s="11" t="s">
        <v>28</v>
      </c>
      <c r="C349" s="11" t="s">
        <v>13</v>
      </c>
      <c r="D349" s="12" t="s">
        <v>14</v>
      </c>
      <c r="E349" s="11">
        <v>384</v>
      </c>
      <c r="F349" s="11">
        <v>144000</v>
      </c>
      <c r="G349" s="11">
        <v>98102.720000000001</v>
      </c>
      <c r="H349" s="11">
        <v>2185.5847619047636</v>
      </c>
      <c r="I349" s="11">
        <f t="shared" si="5"/>
        <v>375</v>
      </c>
    </row>
    <row r="350" spans="1:9" x14ac:dyDescent="0.3">
      <c r="A350" s="9" t="s">
        <v>8</v>
      </c>
      <c r="B350" s="9" t="s">
        <v>28</v>
      </c>
      <c r="C350" s="9" t="s">
        <v>16</v>
      </c>
      <c r="D350" s="10" t="s">
        <v>17</v>
      </c>
      <c r="E350" s="11">
        <v>8</v>
      </c>
      <c r="F350" s="11">
        <v>2392</v>
      </c>
      <c r="G350" s="11">
        <v>600</v>
      </c>
      <c r="H350" s="11">
        <v>192.00000000000023</v>
      </c>
      <c r="I350" s="11">
        <f t="shared" si="5"/>
        <v>299</v>
      </c>
    </row>
    <row r="351" spans="1:9" x14ac:dyDescent="0.3">
      <c r="A351" s="11" t="s">
        <v>8</v>
      </c>
      <c r="B351" s="11" t="s">
        <v>28</v>
      </c>
      <c r="C351" s="11" t="s">
        <v>18</v>
      </c>
      <c r="D351" s="12" t="s">
        <v>17</v>
      </c>
      <c r="E351" s="11">
        <v>12</v>
      </c>
      <c r="F351" s="11">
        <v>6900</v>
      </c>
      <c r="G351" s="11">
        <v>1672.3600000000042</v>
      </c>
      <c r="H351" s="11">
        <v>560.10428571428565</v>
      </c>
      <c r="I351" s="11">
        <f t="shared" si="5"/>
        <v>575</v>
      </c>
    </row>
    <row r="352" spans="1:9" x14ac:dyDescent="0.3">
      <c r="A352" s="9" t="s">
        <v>8</v>
      </c>
      <c r="B352" s="9" t="s">
        <v>28</v>
      </c>
      <c r="C352" s="9" t="s">
        <v>19</v>
      </c>
      <c r="D352" s="10" t="s">
        <v>17</v>
      </c>
      <c r="E352" s="11">
        <v>124</v>
      </c>
      <c r="F352" s="11">
        <v>142600</v>
      </c>
      <c r="G352" s="11">
        <v>45609.36</v>
      </c>
      <c r="H352" s="11">
        <v>10391.854285714289</v>
      </c>
      <c r="I352" s="11">
        <f t="shared" si="5"/>
        <v>1150</v>
      </c>
    </row>
    <row r="353" spans="1:9" x14ac:dyDescent="0.3">
      <c r="A353" s="11" t="s">
        <v>8</v>
      </c>
      <c r="B353" s="11" t="s">
        <v>28</v>
      </c>
      <c r="C353" s="11" t="s">
        <v>21</v>
      </c>
      <c r="D353" s="12" t="s">
        <v>11</v>
      </c>
      <c r="E353" s="11">
        <v>424</v>
      </c>
      <c r="F353" s="11">
        <v>508800</v>
      </c>
      <c r="G353" s="11">
        <v>218763.83999999997</v>
      </c>
      <c r="H353" s="11">
        <v>13811.245714285702</v>
      </c>
      <c r="I353" s="11">
        <f t="shared" si="5"/>
        <v>1200</v>
      </c>
    </row>
    <row r="354" spans="1:9" x14ac:dyDescent="0.3">
      <c r="A354" s="9" t="s">
        <v>8</v>
      </c>
      <c r="B354" s="9" t="s">
        <v>28</v>
      </c>
      <c r="C354" s="9" t="s">
        <v>24</v>
      </c>
      <c r="D354" s="10" t="s">
        <v>23</v>
      </c>
      <c r="E354" s="11">
        <v>116</v>
      </c>
      <c r="F354" s="11">
        <v>52200</v>
      </c>
      <c r="G354" s="11">
        <v>26805.759999999998</v>
      </c>
      <c r="H354" s="11">
        <v>1209.2495238095253</v>
      </c>
      <c r="I354" s="11">
        <f t="shared" si="5"/>
        <v>450</v>
      </c>
    </row>
    <row r="355" spans="1:9" x14ac:dyDescent="0.3">
      <c r="A355" s="11" t="s">
        <v>8</v>
      </c>
      <c r="B355" s="11" t="s">
        <v>28</v>
      </c>
      <c r="C355" s="11" t="s">
        <v>25</v>
      </c>
      <c r="D355" s="12" t="s">
        <v>23</v>
      </c>
      <c r="E355" s="11">
        <v>8</v>
      </c>
      <c r="F355" s="11">
        <v>7200</v>
      </c>
      <c r="G355" s="11">
        <v>3303.04</v>
      </c>
      <c r="H355" s="11">
        <v>594.45152542372853</v>
      </c>
      <c r="I355" s="11">
        <f t="shared" si="5"/>
        <v>900</v>
      </c>
    </row>
    <row r="356" spans="1:9" x14ac:dyDescent="0.3">
      <c r="A356" s="9" t="s">
        <v>8</v>
      </c>
      <c r="B356" s="9" t="s">
        <v>28</v>
      </c>
      <c r="C356" s="9" t="s">
        <v>12</v>
      </c>
      <c r="D356" s="10" t="s">
        <v>11</v>
      </c>
      <c r="E356" s="11">
        <v>20</v>
      </c>
      <c r="F356" s="11">
        <v>12000</v>
      </c>
      <c r="G356" s="11">
        <v>3020</v>
      </c>
      <c r="H356" s="11">
        <v>427.61904761904771</v>
      </c>
      <c r="I356" s="11">
        <f t="shared" si="5"/>
        <v>600</v>
      </c>
    </row>
    <row r="357" spans="1:9" x14ac:dyDescent="0.3">
      <c r="A357" s="11" t="s">
        <v>8</v>
      </c>
      <c r="B357" s="11" t="s">
        <v>28</v>
      </c>
      <c r="C357" s="11" t="s">
        <v>13</v>
      </c>
      <c r="D357" s="12" t="s">
        <v>14</v>
      </c>
      <c r="E357" s="11">
        <v>436</v>
      </c>
      <c r="F357" s="11">
        <v>163500</v>
      </c>
      <c r="G357" s="11">
        <v>111499.76000000001</v>
      </c>
      <c r="H357" s="11">
        <v>2476.2019047619033</v>
      </c>
      <c r="I357" s="11">
        <f t="shared" si="5"/>
        <v>375</v>
      </c>
    </row>
    <row r="358" spans="1:9" x14ac:dyDescent="0.3">
      <c r="A358" s="9" t="s">
        <v>8</v>
      </c>
      <c r="B358" s="9" t="s">
        <v>28</v>
      </c>
      <c r="C358" s="9" t="s">
        <v>16</v>
      </c>
      <c r="D358" s="10" t="s">
        <v>17</v>
      </c>
      <c r="E358" s="11">
        <v>8</v>
      </c>
      <c r="F358" s="11">
        <v>2392</v>
      </c>
      <c r="G358" s="11">
        <v>600</v>
      </c>
      <c r="H358" s="11">
        <v>192.00000000000023</v>
      </c>
      <c r="I358" s="11">
        <f t="shared" si="5"/>
        <v>299</v>
      </c>
    </row>
    <row r="359" spans="1:9" x14ac:dyDescent="0.3">
      <c r="A359" s="11" t="s">
        <v>8</v>
      </c>
      <c r="B359" s="11" t="s">
        <v>28</v>
      </c>
      <c r="C359" s="11" t="s">
        <v>18</v>
      </c>
      <c r="D359" s="12" t="s">
        <v>17</v>
      </c>
      <c r="E359" s="11">
        <v>12</v>
      </c>
      <c r="F359" s="11">
        <v>6900</v>
      </c>
      <c r="G359" s="11">
        <v>1512</v>
      </c>
      <c r="H359" s="11">
        <v>577.28571428571468</v>
      </c>
      <c r="I359" s="11">
        <f t="shared" si="5"/>
        <v>575</v>
      </c>
    </row>
    <row r="360" spans="1:9" x14ac:dyDescent="0.3">
      <c r="A360" s="9" t="s">
        <v>8</v>
      </c>
      <c r="B360" s="9" t="s">
        <v>28</v>
      </c>
      <c r="C360" s="9" t="s">
        <v>19</v>
      </c>
      <c r="D360" s="10" t="s">
        <v>17</v>
      </c>
      <c r="E360" s="11">
        <v>80</v>
      </c>
      <c r="F360" s="11">
        <v>92000</v>
      </c>
      <c r="G360" s="11">
        <v>29302.680000000008</v>
      </c>
      <c r="H360" s="11">
        <v>6717.570000000007</v>
      </c>
      <c r="I360" s="11">
        <f t="shared" si="5"/>
        <v>1150</v>
      </c>
    </row>
    <row r="361" spans="1:9" x14ac:dyDescent="0.3">
      <c r="A361" s="11" t="s">
        <v>8</v>
      </c>
      <c r="B361" s="11" t="s">
        <v>28</v>
      </c>
      <c r="C361" s="11" t="s">
        <v>21</v>
      </c>
      <c r="D361" s="12" t="s">
        <v>11</v>
      </c>
      <c r="E361" s="11">
        <v>536</v>
      </c>
      <c r="F361" s="11">
        <v>643200</v>
      </c>
      <c r="G361" s="11">
        <v>282295.27999999991</v>
      </c>
      <c r="H361" s="11">
        <v>17185.93904761906</v>
      </c>
      <c r="I361" s="11">
        <f t="shared" si="5"/>
        <v>1200</v>
      </c>
    </row>
    <row r="362" spans="1:9" x14ac:dyDescent="0.3">
      <c r="A362" s="9" t="s">
        <v>8</v>
      </c>
      <c r="B362" s="9" t="s">
        <v>28</v>
      </c>
      <c r="C362" s="9" t="s">
        <v>24</v>
      </c>
      <c r="D362" s="10" t="s">
        <v>23</v>
      </c>
      <c r="E362" s="11">
        <v>136</v>
      </c>
      <c r="F362" s="11">
        <v>61200</v>
      </c>
      <c r="G362" s="11">
        <v>31363.84</v>
      </c>
      <c r="H362" s="11">
        <v>1420.7695238095257</v>
      </c>
      <c r="I362" s="11">
        <f t="shared" si="5"/>
        <v>450</v>
      </c>
    </row>
    <row r="363" spans="1:9" x14ac:dyDescent="0.3">
      <c r="A363" s="11" t="s">
        <v>8</v>
      </c>
      <c r="B363" s="11" t="s">
        <v>28</v>
      </c>
      <c r="C363" s="11" t="s">
        <v>12</v>
      </c>
      <c r="D363" s="12" t="s">
        <v>11</v>
      </c>
      <c r="E363" s="11">
        <v>8</v>
      </c>
      <c r="F363" s="11">
        <v>4800</v>
      </c>
      <c r="G363" s="11">
        <v>1208</v>
      </c>
      <c r="H363" s="11">
        <v>171.04761904761926</v>
      </c>
      <c r="I363" s="11">
        <f t="shared" si="5"/>
        <v>600</v>
      </c>
    </row>
    <row r="364" spans="1:9" x14ac:dyDescent="0.3">
      <c r="A364" s="9" t="s">
        <v>8</v>
      </c>
      <c r="B364" s="9" t="s">
        <v>28</v>
      </c>
      <c r="C364" s="9" t="s">
        <v>13</v>
      </c>
      <c r="D364" s="10" t="s">
        <v>14</v>
      </c>
      <c r="E364" s="11">
        <v>312</v>
      </c>
      <c r="F364" s="11">
        <v>117000</v>
      </c>
      <c r="G364" s="11">
        <v>79948.44</v>
      </c>
      <c r="H364" s="11">
        <v>1764.3600000000006</v>
      </c>
      <c r="I364" s="11">
        <f t="shared" si="5"/>
        <v>375</v>
      </c>
    </row>
    <row r="365" spans="1:9" x14ac:dyDescent="0.3">
      <c r="A365" s="11" t="s">
        <v>8</v>
      </c>
      <c r="B365" s="11" t="s">
        <v>28</v>
      </c>
      <c r="C365" s="11" t="s">
        <v>15</v>
      </c>
      <c r="D365" s="12" t="s">
        <v>14</v>
      </c>
      <c r="E365" s="11">
        <v>0</v>
      </c>
      <c r="F365" s="11">
        <v>0</v>
      </c>
      <c r="G365" s="11">
        <v>0</v>
      </c>
      <c r="H365" s="11">
        <v>0</v>
      </c>
      <c r="I365" s="11">
        <f t="shared" si="5"/>
        <v>0</v>
      </c>
    </row>
    <row r="366" spans="1:9" x14ac:dyDescent="0.3">
      <c r="A366" s="9" t="s">
        <v>8</v>
      </c>
      <c r="B366" s="9" t="s">
        <v>28</v>
      </c>
      <c r="C366" s="9" t="s">
        <v>16</v>
      </c>
      <c r="D366" s="10" t="s">
        <v>17</v>
      </c>
      <c r="E366" s="11">
        <v>4</v>
      </c>
      <c r="F366" s="11">
        <v>1196</v>
      </c>
      <c r="G366" s="11">
        <v>300</v>
      </c>
      <c r="H366" s="11">
        <v>96.000000000000114</v>
      </c>
      <c r="I366" s="11">
        <f t="shared" si="5"/>
        <v>299</v>
      </c>
    </row>
    <row r="367" spans="1:9" x14ac:dyDescent="0.3">
      <c r="A367" s="11" t="s">
        <v>8</v>
      </c>
      <c r="B367" s="11" t="s">
        <v>28</v>
      </c>
      <c r="C367" s="11" t="s">
        <v>18</v>
      </c>
      <c r="D367" s="12" t="s">
        <v>17</v>
      </c>
      <c r="E367" s="11">
        <v>28</v>
      </c>
      <c r="F367" s="11">
        <v>16100</v>
      </c>
      <c r="G367" s="11">
        <v>3728</v>
      </c>
      <c r="H367" s="11">
        <v>1325.5714285714294</v>
      </c>
      <c r="I367" s="11">
        <f t="shared" si="5"/>
        <v>575</v>
      </c>
    </row>
    <row r="368" spans="1:9" x14ac:dyDescent="0.3">
      <c r="A368" s="9" t="s">
        <v>8</v>
      </c>
      <c r="B368" s="9" t="s">
        <v>28</v>
      </c>
      <c r="C368" s="9" t="s">
        <v>19</v>
      </c>
      <c r="D368" s="10" t="s">
        <v>17</v>
      </c>
      <c r="E368" s="11">
        <v>100</v>
      </c>
      <c r="F368" s="11">
        <v>115000</v>
      </c>
      <c r="G368" s="11">
        <v>35360.880000000005</v>
      </c>
      <c r="H368" s="11">
        <v>8532.762857142865</v>
      </c>
      <c r="I368" s="11">
        <f t="shared" si="5"/>
        <v>1150</v>
      </c>
    </row>
    <row r="369" spans="1:9" x14ac:dyDescent="0.3">
      <c r="A369" s="11" t="s">
        <v>8</v>
      </c>
      <c r="B369" s="11" t="s">
        <v>28</v>
      </c>
      <c r="C369" s="11" t="s">
        <v>20</v>
      </c>
      <c r="D369" s="12" t="s">
        <v>14</v>
      </c>
      <c r="E369" s="11">
        <v>12</v>
      </c>
      <c r="F369" s="11">
        <v>9000</v>
      </c>
      <c r="G369" s="11">
        <v>4212</v>
      </c>
      <c r="H369" s="11">
        <v>228</v>
      </c>
      <c r="I369" s="11">
        <f t="shared" si="5"/>
        <v>750</v>
      </c>
    </row>
    <row r="370" spans="1:9" x14ac:dyDescent="0.3">
      <c r="A370" s="9" t="s">
        <v>8</v>
      </c>
      <c r="B370" s="9" t="s">
        <v>28</v>
      </c>
      <c r="C370" s="9" t="s">
        <v>21</v>
      </c>
      <c r="D370" s="10" t="s">
        <v>11</v>
      </c>
      <c r="E370" s="11">
        <v>360</v>
      </c>
      <c r="F370" s="11">
        <v>432000</v>
      </c>
      <c r="G370" s="11">
        <v>185141.15999999997</v>
      </c>
      <c r="H370" s="11">
        <v>11755.182857142878</v>
      </c>
      <c r="I370" s="11">
        <f t="shared" si="5"/>
        <v>1200</v>
      </c>
    </row>
    <row r="371" spans="1:9" x14ac:dyDescent="0.3">
      <c r="A371" s="11" t="s">
        <v>8</v>
      </c>
      <c r="B371" s="11" t="s">
        <v>28</v>
      </c>
      <c r="C371" s="11" t="s">
        <v>24</v>
      </c>
      <c r="D371" s="12" t="s">
        <v>23</v>
      </c>
      <c r="E371" s="11">
        <v>120</v>
      </c>
      <c r="F371" s="11">
        <v>54000</v>
      </c>
      <c r="G371" s="11">
        <v>27368</v>
      </c>
      <c r="H371" s="11">
        <v>1268.1904761904771</v>
      </c>
      <c r="I371" s="11">
        <f t="shared" si="5"/>
        <v>450</v>
      </c>
    </row>
  </sheetData>
  <phoneticPr fontId="5"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7BFCE-21E6-4E58-8263-ECEB61D0F504}">
  <dimension ref="A1:M371"/>
  <sheetViews>
    <sheetView workbookViewId="0">
      <selection activeCell="I2" sqref="I2:I266"/>
    </sheetView>
  </sheetViews>
  <sheetFormatPr defaultColWidth="8.88671875" defaultRowHeight="14.4" x14ac:dyDescent="0.3"/>
  <cols>
    <col min="1" max="1" width="10.109375" style="11" bestFit="1" customWidth="1"/>
    <col min="2" max="2" width="8.5546875" style="11" bestFit="1" customWidth="1"/>
    <col min="3" max="3" width="18.44140625" style="12" bestFit="1" customWidth="1"/>
    <col min="4" max="4" width="11.88671875" style="12" bestFit="1" customWidth="1"/>
    <col min="5" max="5" width="7.6640625" style="11" bestFit="1" customWidth="1"/>
    <col min="6" max="6" width="12.33203125" style="11" bestFit="1" customWidth="1"/>
    <col min="7" max="7" width="14.77734375" style="11" bestFit="1" customWidth="1"/>
    <col min="8" max="9" width="12" style="11" bestFit="1" customWidth="1"/>
    <col min="10" max="12" width="8.88671875" style="11"/>
    <col min="13" max="13" width="11.33203125" style="11" bestFit="1" customWidth="1"/>
    <col min="14" max="16384" width="8.88671875" style="11"/>
  </cols>
  <sheetData>
    <row r="1" spans="1:13" s="5" customFormat="1" x14ac:dyDescent="0.3">
      <c r="A1" s="1" t="s">
        <v>0</v>
      </c>
      <c r="B1" s="2" t="s">
        <v>1</v>
      </c>
      <c r="C1" s="3" t="s">
        <v>2</v>
      </c>
      <c r="D1" s="3" t="s">
        <v>3</v>
      </c>
      <c r="E1" s="3" t="s">
        <v>4</v>
      </c>
      <c r="F1" s="3" t="s">
        <v>5</v>
      </c>
      <c r="G1" s="3" t="s">
        <v>34</v>
      </c>
      <c r="H1" s="4" t="s">
        <v>6</v>
      </c>
      <c r="I1" s="7" t="s">
        <v>33</v>
      </c>
      <c r="J1" s="6"/>
      <c r="K1" s="7"/>
      <c r="M1" s="8"/>
    </row>
    <row r="2" spans="1:13" x14ac:dyDescent="0.3">
      <c r="A2" s="9" t="s">
        <v>29</v>
      </c>
      <c r="B2" s="9" t="s">
        <v>28</v>
      </c>
      <c r="C2" s="9" t="s">
        <v>13</v>
      </c>
      <c r="D2" s="10" t="s">
        <v>14</v>
      </c>
      <c r="E2" s="11">
        <v>120</v>
      </c>
      <c r="F2" s="11">
        <v>45000</v>
      </c>
      <c r="G2" s="11">
        <v>28760</v>
      </c>
      <c r="H2" s="11">
        <v>773.33333333333394</v>
      </c>
      <c r="I2" s="11">
        <f>IFERROR((F2/E2),0)</f>
        <v>375</v>
      </c>
    </row>
    <row r="3" spans="1:13" x14ac:dyDescent="0.3">
      <c r="A3" s="11" t="s">
        <v>29</v>
      </c>
      <c r="B3" s="11" t="s">
        <v>28</v>
      </c>
      <c r="C3" s="11" t="s">
        <v>15</v>
      </c>
      <c r="D3" s="12" t="s">
        <v>14</v>
      </c>
      <c r="E3" s="11">
        <v>20</v>
      </c>
      <c r="F3" s="11">
        <v>3300</v>
      </c>
      <c r="G3" s="11">
        <v>1980</v>
      </c>
      <c r="H3" s="11">
        <v>62.85714285714289</v>
      </c>
      <c r="I3" s="11">
        <f t="shared" ref="I3:I66" si="0">IFERROR((F3/E3),0)</f>
        <v>165</v>
      </c>
    </row>
    <row r="4" spans="1:13" x14ac:dyDescent="0.3">
      <c r="A4" s="9" t="s">
        <v>29</v>
      </c>
      <c r="B4" s="9" t="s">
        <v>28</v>
      </c>
      <c r="C4" s="9" t="s">
        <v>12</v>
      </c>
      <c r="D4" s="10" t="s">
        <v>11</v>
      </c>
      <c r="E4" s="11">
        <v>8</v>
      </c>
      <c r="F4" s="11">
        <v>4800</v>
      </c>
      <c r="G4" s="11">
        <v>1056</v>
      </c>
      <c r="H4" s="11">
        <v>178.28571428571422</v>
      </c>
      <c r="I4" s="11">
        <f t="shared" si="0"/>
        <v>600</v>
      </c>
    </row>
    <row r="5" spans="1:13" x14ac:dyDescent="0.3">
      <c r="A5" s="11" t="s">
        <v>29</v>
      </c>
      <c r="B5" s="11" t="s">
        <v>28</v>
      </c>
      <c r="C5" s="11" t="s">
        <v>18</v>
      </c>
      <c r="D5" s="12" t="s">
        <v>17</v>
      </c>
      <c r="E5" s="11">
        <v>4</v>
      </c>
      <c r="F5" s="11">
        <v>2300</v>
      </c>
      <c r="G5" s="11">
        <v>504</v>
      </c>
      <c r="H5" s="11">
        <v>192.42857142857156</v>
      </c>
      <c r="I5" s="11">
        <f t="shared" si="0"/>
        <v>575</v>
      </c>
    </row>
    <row r="6" spans="1:13" x14ac:dyDescent="0.3">
      <c r="A6" s="9" t="s">
        <v>29</v>
      </c>
      <c r="B6" s="9" t="s">
        <v>28</v>
      </c>
      <c r="C6" s="9" t="s">
        <v>22</v>
      </c>
      <c r="D6" s="10" t="s">
        <v>23</v>
      </c>
      <c r="E6" s="11">
        <v>44</v>
      </c>
      <c r="F6" s="11">
        <v>8756</v>
      </c>
      <c r="G6" s="11">
        <v>4400</v>
      </c>
      <c r="H6" s="11">
        <v>207.42857142857156</v>
      </c>
      <c r="I6" s="11">
        <f t="shared" si="0"/>
        <v>199</v>
      </c>
    </row>
    <row r="7" spans="1:13" x14ac:dyDescent="0.3">
      <c r="A7" s="11" t="s">
        <v>29</v>
      </c>
      <c r="B7" s="11" t="s">
        <v>28</v>
      </c>
      <c r="C7" s="11" t="s">
        <v>25</v>
      </c>
      <c r="D7" s="12" t="s">
        <v>23</v>
      </c>
      <c r="E7" s="11">
        <v>20</v>
      </c>
      <c r="F7" s="11">
        <v>18000</v>
      </c>
      <c r="G7" s="11">
        <v>9200</v>
      </c>
      <c r="H7" s="11">
        <v>1342.3728813559319</v>
      </c>
      <c r="I7" s="11">
        <f t="shared" si="0"/>
        <v>900</v>
      </c>
    </row>
    <row r="8" spans="1:13" x14ac:dyDescent="0.3">
      <c r="A8" s="9" t="s">
        <v>29</v>
      </c>
      <c r="B8" s="9" t="s">
        <v>28</v>
      </c>
      <c r="C8" s="9" t="s">
        <v>13</v>
      </c>
      <c r="D8" s="10" t="s">
        <v>14</v>
      </c>
      <c r="E8" s="11">
        <v>80</v>
      </c>
      <c r="F8" s="11">
        <v>30000</v>
      </c>
      <c r="G8" s="11">
        <v>19200</v>
      </c>
      <c r="H8" s="11">
        <v>514.28571428571558</v>
      </c>
      <c r="I8" s="11">
        <f t="shared" si="0"/>
        <v>375</v>
      </c>
    </row>
    <row r="9" spans="1:13" x14ac:dyDescent="0.3">
      <c r="A9" s="11" t="s">
        <v>29</v>
      </c>
      <c r="B9" s="11" t="s">
        <v>28</v>
      </c>
      <c r="C9" s="11" t="s">
        <v>15</v>
      </c>
      <c r="D9" s="12" t="s">
        <v>14</v>
      </c>
      <c r="E9" s="11">
        <v>64</v>
      </c>
      <c r="F9" s="11">
        <v>10560</v>
      </c>
      <c r="G9" s="11">
        <v>6228</v>
      </c>
      <c r="H9" s="11">
        <v>206.28571428571468</v>
      </c>
      <c r="I9" s="11">
        <f t="shared" si="0"/>
        <v>165</v>
      </c>
    </row>
    <row r="10" spans="1:13" x14ac:dyDescent="0.3">
      <c r="A10" s="9" t="s">
        <v>29</v>
      </c>
      <c r="B10" s="9" t="s">
        <v>28</v>
      </c>
      <c r="C10" s="9" t="s">
        <v>12</v>
      </c>
      <c r="D10" s="10" t="s">
        <v>11</v>
      </c>
      <c r="E10" s="11">
        <v>4</v>
      </c>
      <c r="F10" s="11">
        <v>2400</v>
      </c>
      <c r="G10" s="11">
        <v>624</v>
      </c>
      <c r="H10" s="11">
        <v>84.571428571428669</v>
      </c>
      <c r="I10" s="11">
        <f t="shared" si="0"/>
        <v>600</v>
      </c>
    </row>
    <row r="11" spans="1:13" x14ac:dyDescent="0.3">
      <c r="A11" s="11" t="s">
        <v>29</v>
      </c>
      <c r="B11" s="11" t="s">
        <v>28</v>
      </c>
      <c r="C11" s="11" t="s">
        <v>10</v>
      </c>
      <c r="D11" s="12" t="s">
        <v>11</v>
      </c>
      <c r="E11" s="11">
        <v>4</v>
      </c>
      <c r="F11" s="11">
        <v>1340</v>
      </c>
      <c r="G11" s="11">
        <v>324</v>
      </c>
      <c r="H11" s="11">
        <v>48.380952380952408</v>
      </c>
      <c r="I11" s="11">
        <f t="shared" si="0"/>
        <v>335</v>
      </c>
    </row>
    <row r="12" spans="1:13" x14ac:dyDescent="0.3">
      <c r="A12" s="9" t="s">
        <v>29</v>
      </c>
      <c r="B12" s="9" t="s">
        <v>28</v>
      </c>
      <c r="C12" s="9" t="s">
        <v>22</v>
      </c>
      <c r="D12" s="10" t="s">
        <v>23</v>
      </c>
      <c r="E12" s="11">
        <v>36</v>
      </c>
      <c r="F12" s="11">
        <v>7164</v>
      </c>
      <c r="G12" s="11">
        <v>3640</v>
      </c>
      <c r="H12" s="11">
        <v>167.80952380952385</v>
      </c>
      <c r="I12" s="11">
        <f t="shared" si="0"/>
        <v>199</v>
      </c>
    </row>
    <row r="13" spans="1:13" x14ac:dyDescent="0.3">
      <c r="A13" s="11" t="s">
        <v>29</v>
      </c>
      <c r="B13" s="11" t="s">
        <v>28</v>
      </c>
      <c r="C13" s="11" t="s">
        <v>24</v>
      </c>
      <c r="D13" s="12" t="s">
        <v>23</v>
      </c>
      <c r="E13" s="11">
        <v>4</v>
      </c>
      <c r="F13" s="11">
        <v>1800</v>
      </c>
      <c r="G13" s="11">
        <v>184</v>
      </c>
      <c r="H13" s="11">
        <v>76.952380952380963</v>
      </c>
      <c r="I13" s="11">
        <f t="shared" si="0"/>
        <v>450</v>
      </c>
    </row>
    <row r="14" spans="1:13" x14ac:dyDescent="0.3">
      <c r="A14" s="9" t="s">
        <v>29</v>
      </c>
      <c r="B14" s="9" t="s">
        <v>28</v>
      </c>
      <c r="C14" s="9" t="s">
        <v>25</v>
      </c>
      <c r="D14" s="10" t="s">
        <v>23</v>
      </c>
      <c r="E14" s="11">
        <v>12</v>
      </c>
      <c r="F14" s="11">
        <v>10800</v>
      </c>
      <c r="G14" s="11">
        <v>5472</v>
      </c>
      <c r="H14" s="11">
        <v>812.74576271186379</v>
      </c>
      <c r="I14" s="11">
        <f t="shared" si="0"/>
        <v>900</v>
      </c>
    </row>
    <row r="15" spans="1:13" x14ac:dyDescent="0.3">
      <c r="A15" s="11" t="s">
        <v>29</v>
      </c>
      <c r="B15" s="11" t="s">
        <v>28</v>
      </c>
      <c r="C15" s="11" t="s">
        <v>13</v>
      </c>
      <c r="D15" s="12" t="s">
        <v>14</v>
      </c>
      <c r="E15" s="11">
        <v>60</v>
      </c>
      <c r="F15" s="11">
        <v>22500</v>
      </c>
      <c r="G15" s="11">
        <v>14400</v>
      </c>
      <c r="H15" s="11">
        <v>385.71428571428623</v>
      </c>
      <c r="I15" s="11">
        <f t="shared" si="0"/>
        <v>375</v>
      </c>
    </row>
    <row r="16" spans="1:13" x14ac:dyDescent="0.3">
      <c r="A16" s="9" t="s">
        <v>29</v>
      </c>
      <c r="B16" s="9" t="s">
        <v>28</v>
      </c>
      <c r="C16" s="9" t="s">
        <v>15</v>
      </c>
      <c r="D16" s="10" t="s">
        <v>14</v>
      </c>
      <c r="E16" s="11">
        <v>40</v>
      </c>
      <c r="F16" s="11">
        <v>6600</v>
      </c>
      <c r="G16" s="11">
        <v>3952</v>
      </c>
      <c r="H16" s="11">
        <v>126.09523809523807</v>
      </c>
      <c r="I16" s="11">
        <f t="shared" si="0"/>
        <v>165</v>
      </c>
    </row>
    <row r="17" spans="1:9" x14ac:dyDescent="0.3">
      <c r="A17" s="11" t="s">
        <v>29</v>
      </c>
      <c r="B17" s="11" t="s">
        <v>28</v>
      </c>
      <c r="C17" s="11" t="s">
        <v>12</v>
      </c>
      <c r="D17" s="12" t="s">
        <v>11</v>
      </c>
      <c r="E17" s="11">
        <v>16</v>
      </c>
      <c r="F17" s="11">
        <v>9600</v>
      </c>
      <c r="G17" s="11">
        <v>2568</v>
      </c>
      <c r="H17" s="11">
        <v>334.85714285714312</v>
      </c>
      <c r="I17" s="11">
        <f t="shared" si="0"/>
        <v>600</v>
      </c>
    </row>
    <row r="18" spans="1:9" x14ac:dyDescent="0.3">
      <c r="A18" s="9" t="s">
        <v>29</v>
      </c>
      <c r="B18" s="9" t="s">
        <v>28</v>
      </c>
      <c r="C18" s="9" t="s">
        <v>10</v>
      </c>
      <c r="D18" s="10" t="s">
        <v>11</v>
      </c>
      <c r="E18" s="11">
        <v>4</v>
      </c>
      <c r="F18" s="11">
        <v>1340</v>
      </c>
      <c r="G18" s="11">
        <v>324</v>
      </c>
      <c r="H18" s="11">
        <v>48.380952380952408</v>
      </c>
      <c r="I18" s="11">
        <f t="shared" si="0"/>
        <v>335</v>
      </c>
    </row>
    <row r="19" spans="1:9" x14ac:dyDescent="0.3">
      <c r="A19" s="11" t="s">
        <v>29</v>
      </c>
      <c r="B19" s="11" t="s">
        <v>28</v>
      </c>
      <c r="C19" s="11" t="s">
        <v>18</v>
      </c>
      <c r="D19" s="12" t="s">
        <v>17</v>
      </c>
      <c r="E19" s="11">
        <v>4</v>
      </c>
      <c r="F19" s="11">
        <v>2300</v>
      </c>
      <c r="G19" s="11">
        <v>544</v>
      </c>
      <c r="H19" s="11">
        <v>188.14285714285734</v>
      </c>
      <c r="I19" s="11">
        <f t="shared" si="0"/>
        <v>575</v>
      </c>
    </row>
    <row r="20" spans="1:9" x14ac:dyDescent="0.3">
      <c r="A20" s="9" t="s">
        <v>29</v>
      </c>
      <c r="B20" s="9" t="s">
        <v>28</v>
      </c>
      <c r="C20" s="9" t="s">
        <v>21</v>
      </c>
      <c r="D20" s="10" t="s">
        <v>11</v>
      </c>
      <c r="E20" s="11">
        <v>4</v>
      </c>
      <c r="F20" s="11">
        <v>4800</v>
      </c>
      <c r="G20" s="11">
        <v>804</v>
      </c>
      <c r="H20" s="11">
        <v>190.28571428571422</v>
      </c>
      <c r="I20" s="11">
        <f t="shared" si="0"/>
        <v>1200</v>
      </c>
    </row>
    <row r="21" spans="1:9" x14ac:dyDescent="0.3">
      <c r="A21" s="11" t="s">
        <v>29</v>
      </c>
      <c r="B21" s="11" t="s">
        <v>28</v>
      </c>
      <c r="C21" s="11" t="s">
        <v>22</v>
      </c>
      <c r="D21" s="12" t="s">
        <v>23</v>
      </c>
      <c r="E21" s="11">
        <v>48</v>
      </c>
      <c r="F21" s="11">
        <v>9552</v>
      </c>
      <c r="G21" s="11">
        <v>4768</v>
      </c>
      <c r="H21" s="11">
        <v>227.80952380952385</v>
      </c>
      <c r="I21" s="11">
        <f t="shared" si="0"/>
        <v>199</v>
      </c>
    </row>
    <row r="22" spans="1:9" x14ac:dyDescent="0.3">
      <c r="A22" s="9" t="s">
        <v>29</v>
      </c>
      <c r="B22" s="9" t="s">
        <v>28</v>
      </c>
      <c r="C22" s="9" t="s">
        <v>25</v>
      </c>
      <c r="D22" s="10" t="s">
        <v>23</v>
      </c>
      <c r="E22" s="11">
        <v>16</v>
      </c>
      <c r="F22" s="11">
        <v>14400</v>
      </c>
      <c r="G22" s="11">
        <v>7336</v>
      </c>
      <c r="H22" s="11">
        <v>1077.5593220338978</v>
      </c>
      <c r="I22" s="11">
        <f t="shared" si="0"/>
        <v>900</v>
      </c>
    </row>
    <row r="23" spans="1:9" x14ac:dyDescent="0.3">
      <c r="A23" s="11" t="s">
        <v>29</v>
      </c>
      <c r="B23" s="11" t="s">
        <v>28</v>
      </c>
      <c r="C23" s="11" t="s">
        <v>13</v>
      </c>
      <c r="D23" s="12" t="s">
        <v>14</v>
      </c>
      <c r="E23" s="11">
        <v>1748</v>
      </c>
      <c r="F23" s="11">
        <v>655500</v>
      </c>
      <c r="G23" s="11">
        <v>443280</v>
      </c>
      <c r="H23" s="11">
        <v>10105.71428571429</v>
      </c>
      <c r="I23" s="11">
        <f t="shared" si="0"/>
        <v>375</v>
      </c>
    </row>
    <row r="24" spans="1:9" x14ac:dyDescent="0.3">
      <c r="A24" s="9" t="s">
        <v>29</v>
      </c>
      <c r="B24" s="9" t="s">
        <v>28</v>
      </c>
      <c r="C24" s="9" t="s">
        <v>15</v>
      </c>
      <c r="D24" s="10" t="s">
        <v>14</v>
      </c>
      <c r="E24" s="11">
        <v>76</v>
      </c>
      <c r="F24" s="11">
        <v>12540</v>
      </c>
      <c r="G24" s="11">
        <v>7476</v>
      </c>
      <c r="H24" s="11">
        <v>241.14285714285779</v>
      </c>
      <c r="I24" s="11">
        <f t="shared" si="0"/>
        <v>165</v>
      </c>
    </row>
    <row r="25" spans="1:9" x14ac:dyDescent="0.3">
      <c r="A25" s="11" t="s">
        <v>29</v>
      </c>
      <c r="B25" s="11" t="s">
        <v>28</v>
      </c>
      <c r="C25" s="11" t="s">
        <v>10</v>
      </c>
      <c r="D25" s="12" t="s">
        <v>11</v>
      </c>
      <c r="E25" s="11">
        <v>4</v>
      </c>
      <c r="F25" s="11">
        <v>1340</v>
      </c>
      <c r="G25" s="11">
        <v>344</v>
      </c>
      <c r="H25" s="11">
        <v>47.428571428571445</v>
      </c>
      <c r="I25" s="11">
        <f t="shared" si="0"/>
        <v>335</v>
      </c>
    </row>
    <row r="26" spans="1:9" x14ac:dyDescent="0.3">
      <c r="A26" s="9" t="s">
        <v>29</v>
      </c>
      <c r="B26" s="9" t="s">
        <v>28</v>
      </c>
      <c r="C26" s="9" t="s">
        <v>18</v>
      </c>
      <c r="D26" s="10" t="s">
        <v>17</v>
      </c>
      <c r="E26" s="11">
        <v>12</v>
      </c>
      <c r="F26" s="11">
        <v>6900</v>
      </c>
      <c r="G26" s="11">
        <v>1612</v>
      </c>
      <c r="H26" s="11">
        <v>566.57142857142935</v>
      </c>
      <c r="I26" s="11">
        <f t="shared" si="0"/>
        <v>575</v>
      </c>
    </row>
    <row r="27" spans="1:9" x14ac:dyDescent="0.3">
      <c r="A27" s="11" t="s">
        <v>29</v>
      </c>
      <c r="B27" s="11" t="s">
        <v>28</v>
      </c>
      <c r="C27" s="11" t="s">
        <v>19</v>
      </c>
      <c r="D27" s="12" t="s">
        <v>17</v>
      </c>
      <c r="E27" s="11">
        <v>8</v>
      </c>
      <c r="F27" s="11">
        <v>9200</v>
      </c>
      <c r="G27" s="11">
        <v>2248</v>
      </c>
      <c r="H27" s="11">
        <v>744.85714285714312</v>
      </c>
      <c r="I27" s="11">
        <f t="shared" si="0"/>
        <v>1150</v>
      </c>
    </row>
    <row r="28" spans="1:9" x14ac:dyDescent="0.3">
      <c r="A28" s="9" t="s">
        <v>29</v>
      </c>
      <c r="B28" s="9" t="s">
        <v>28</v>
      </c>
      <c r="C28" s="9" t="s">
        <v>22</v>
      </c>
      <c r="D28" s="10" t="s">
        <v>23</v>
      </c>
      <c r="E28" s="11">
        <v>60</v>
      </c>
      <c r="F28" s="11">
        <v>11940</v>
      </c>
      <c r="G28" s="11">
        <v>5956</v>
      </c>
      <c r="H28" s="11">
        <v>284.95238095238165</v>
      </c>
      <c r="I28" s="11">
        <f t="shared" si="0"/>
        <v>199</v>
      </c>
    </row>
    <row r="29" spans="1:9" x14ac:dyDescent="0.3">
      <c r="A29" s="11" t="s">
        <v>29</v>
      </c>
      <c r="B29" s="11" t="s">
        <v>28</v>
      </c>
      <c r="C29" s="11" t="s">
        <v>24</v>
      </c>
      <c r="D29" s="12" t="s">
        <v>23</v>
      </c>
      <c r="E29" s="11">
        <v>12</v>
      </c>
      <c r="F29" s="11">
        <v>5400</v>
      </c>
      <c r="G29" s="11">
        <v>612</v>
      </c>
      <c r="H29" s="11">
        <v>228</v>
      </c>
      <c r="I29" s="11">
        <f t="shared" si="0"/>
        <v>450</v>
      </c>
    </row>
    <row r="30" spans="1:9" x14ac:dyDescent="0.3">
      <c r="A30" s="9" t="s">
        <v>29</v>
      </c>
      <c r="B30" s="9" t="s">
        <v>28</v>
      </c>
      <c r="C30" s="9" t="s">
        <v>25</v>
      </c>
      <c r="D30" s="10" t="s">
        <v>23</v>
      </c>
      <c r="E30" s="11">
        <v>8</v>
      </c>
      <c r="F30" s="11">
        <v>7200</v>
      </c>
      <c r="G30" s="11">
        <v>3608</v>
      </c>
      <c r="H30" s="11">
        <v>547.93220338983019</v>
      </c>
      <c r="I30" s="11">
        <f t="shared" si="0"/>
        <v>900</v>
      </c>
    </row>
    <row r="31" spans="1:9" x14ac:dyDescent="0.3">
      <c r="A31" s="11" t="s">
        <v>29</v>
      </c>
      <c r="B31" s="11" t="s">
        <v>28</v>
      </c>
      <c r="C31" s="11" t="s">
        <v>13</v>
      </c>
      <c r="D31" s="12" t="s">
        <v>14</v>
      </c>
      <c r="E31" s="11">
        <v>336</v>
      </c>
      <c r="F31" s="11">
        <v>126000</v>
      </c>
      <c r="G31" s="11">
        <v>83068</v>
      </c>
      <c r="H31" s="11">
        <v>2044.3809523809541</v>
      </c>
      <c r="I31" s="11">
        <f t="shared" si="0"/>
        <v>375</v>
      </c>
    </row>
    <row r="32" spans="1:9" x14ac:dyDescent="0.3">
      <c r="A32" s="9" t="s">
        <v>29</v>
      </c>
      <c r="B32" s="9" t="s">
        <v>28</v>
      </c>
      <c r="C32" s="9" t="s">
        <v>15</v>
      </c>
      <c r="D32" s="10" t="s">
        <v>14</v>
      </c>
      <c r="E32" s="11">
        <v>20</v>
      </c>
      <c r="F32" s="11">
        <v>3300</v>
      </c>
      <c r="G32" s="11">
        <v>1980</v>
      </c>
      <c r="H32" s="11">
        <v>62.85714285714289</v>
      </c>
      <c r="I32" s="11">
        <f t="shared" si="0"/>
        <v>165</v>
      </c>
    </row>
    <row r="33" spans="1:9" x14ac:dyDescent="0.3">
      <c r="A33" s="11" t="s">
        <v>29</v>
      </c>
      <c r="B33" s="11" t="s">
        <v>28</v>
      </c>
      <c r="C33" s="11" t="s">
        <v>12</v>
      </c>
      <c r="D33" s="12" t="s">
        <v>11</v>
      </c>
      <c r="E33" s="11">
        <v>4</v>
      </c>
      <c r="F33" s="11">
        <v>2400</v>
      </c>
      <c r="G33" s="11">
        <v>644</v>
      </c>
      <c r="H33" s="11">
        <v>83.619047619047706</v>
      </c>
      <c r="I33" s="11">
        <f t="shared" si="0"/>
        <v>600</v>
      </c>
    </row>
    <row r="34" spans="1:9" x14ac:dyDescent="0.3">
      <c r="A34" s="9" t="s">
        <v>29</v>
      </c>
      <c r="B34" s="9" t="s">
        <v>28</v>
      </c>
      <c r="C34" s="9" t="s">
        <v>22</v>
      </c>
      <c r="D34" s="10" t="s">
        <v>23</v>
      </c>
      <c r="E34" s="11">
        <v>36</v>
      </c>
      <c r="F34" s="11">
        <v>7164</v>
      </c>
      <c r="G34" s="11">
        <v>3640</v>
      </c>
      <c r="H34" s="11">
        <v>167.80952380952385</v>
      </c>
      <c r="I34" s="11">
        <f t="shared" si="0"/>
        <v>199</v>
      </c>
    </row>
    <row r="35" spans="1:9" x14ac:dyDescent="0.3">
      <c r="A35" s="11" t="s">
        <v>29</v>
      </c>
      <c r="B35" s="11" t="s">
        <v>28</v>
      </c>
      <c r="C35" s="11" t="s">
        <v>24</v>
      </c>
      <c r="D35" s="12" t="s">
        <v>23</v>
      </c>
      <c r="E35" s="11">
        <v>4</v>
      </c>
      <c r="F35" s="11">
        <v>1800</v>
      </c>
      <c r="G35" s="11">
        <v>500</v>
      </c>
      <c r="H35" s="11">
        <v>61.904761904761926</v>
      </c>
      <c r="I35" s="11">
        <f t="shared" si="0"/>
        <v>450</v>
      </c>
    </row>
    <row r="36" spans="1:9" x14ac:dyDescent="0.3">
      <c r="A36" s="9" t="s">
        <v>29</v>
      </c>
      <c r="B36" s="9" t="s">
        <v>28</v>
      </c>
      <c r="C36" s="9" t="s">
        <v>25</v>
      </c>
      <c r="D36" s="10" t="s">
        <v>23</v>
      </c>
      <c r="E36" s="11">
        <v>28</v>
      </c>
      <c r="F36" s="11">
        <v>25200</v>
      </c>
      <c r="G36" s="11">
        <v>12900</v>
      </c>
      <c r="H36" s="11">
        <v>1876.2711864406774</v>
      </c>
      <c r="I36" s="11">
        <f t="shared" si="0"/>
        <v>900</v>
      </c>
    </row>
    <row r="37" spans="1:9" x14ac:dyDescent="0.3">
      <c r="A37" s="11" t="s">
        <v>29</v>
      </c>
      <c r="B37" s="11" t="s">
        <v>28</v>
      </c>
      <c r="C37" s="11" t="s">
        <v>13</v>
      </c>
      <c r="D37" s="12" t="s">
        <v>14</v>
      </c>
      <c r="E37" s="11">
        <v>168</v>
      </c>
      <c r="F37" s="11">
        <v>63000</v>
      </c>
      <c r="G37" s="11">
        <v>38936</v>
      </c>
      <c r="H37" s="11">
        <v>1145.9047619047633</v>
      </c>
      <c r="I37" s="11">
        <f t="shared" si="0"/>
        <v>375</v>
      </c>
    </row>
    <row r="38" spans="1:9" x14ac:dyDescent="0.3">
      <c r="A38" s="9" t="s">
        <v>29</v>
      </c>
      <c r="B38" s="9" t="s">
        <v>28</v>
      </c>
      <c r="C38" s="9" t="s">
        <v>15</v>
      </c>
      <c r="D38" s="10" t="s">
        <v>14</v>
      </c>
      <c r="E38" s="11">
        <v>20</v>
      </c>
      <c r="F38" s="11">
        <v>3300</v>
      </c>
      <c r="G38" s="11">
        <v>1908</v>
      </c>
      <c r="H38" s="11">
        <v>66.285714285714448</v>
      </c>
      <c r="I38" s="11">
        <f t="shared" si="0"/>
        <v>165</v>
      </c>
    </row>
    <row r="39" spans="1:9" x14ac:dyDescent="0.3">
      <c r="A39" s="11" t="s">
        <v>29</v>
      </c>
      <c r="B39" s="11" t="s">
        <v>28</v>
      </c>
      <c r="C39" s="11" t="s">
        <v>12</v>
      </c>
      <c r="D39" s="12" t="s">
        <v>11</v>
      </c>
      <c r="E39" s="11">
        <v>8</v>
      </c>
      <c r="F39" s="11">
        <v>4800</v>
      </c>
      <c r="G39" s="11">
        <v>1188</v>
      </c>
      <c r="H39" s="11">
        <v>172</v>
      </c>
      <c r="I39" s="11">
        <f t="shared" si="0"/>
        <v>600</v>
      </c>
    </row>
    <row r="40" spans="1:9" x14ac:dyDescent="0.3">
      <c r="A40" s="9" t="s">
        <v>29</v>
      </c>
      <c r="B40" s="9" t="s">
        <v>28</v>
      </c>
      <c r="C40" s="9" t="s">
        <v>19</v>
      </c>
      <c r="D40" s="10" t="s">
        <v>17</v>
      </c>
      <c r="E40" s="11">
        <v>4</v>
      </c>
      <c r="F40" s="11">
        <v>4600</v>
      </c>
      <c r="G40" s="11">
        <v>1140</v>
      </c>
      <c r="H40" s="11">
        <v>370.71428571428623</v>
      </c>
      <c r="I40" s="11">
        <f t="shared" si="0"/>
        <v>1150</v>
      </c>
    </row>
    <row r="41" spans="1:9" x14ac:dyDescent="0.3">
      <c r="A41" s="11" t="s">
        <v>29</v>
      </c>
      <c r="B41" s="11" t="s">
        <v>28</v>
      </c>
      <c r="C41" s="11" t="s">
        <v>22</v>
      </c>
      <c r="D41" s="12" t="s">
        <v>23</v>
      </c>
      <c r="E41" s="11">
        <v>96</v>
      </c>
      <c r="F41" s="11">
        <v>19104</v>
      </c>
      <c r="G41" s="11">
        <v>9576</v>
      </c>
      <c r="H41" s="11">
        <v>453.71428571428623</v>
      </c>
      <c r="I41" s="11">
        <f t="shared" si="0"/>
        <v>199</v>
      </c>
    </row>
    <row r="42" spans="1:9" x14ac:dyDescent="0.3">
      <c r="A42" s="9" t="s">
        <v>29</v>
      </c>
      <c r="B42" s="9" t="s">
        <v>28</v>
      </c>
      <c r="C42" s="9" t="s">
        <v>24</v>
      </c>
      <c r="D42" s="10" t="s">
        <v>23</v>
      </c>
      <c r="E42" s="11">
        <v>4</v>
      </c>
      <c r="F42" s="11">
        <v>1800</v>
      </c>
      <c r="G42" s="11">
        <v>500</v>
      </c>
      <c r="H42" s="11">
        <v>61.904761904761926</v>
      </c>
      <c r="I42" s="11">
        <f t="shared" si="0"/>
        <v>450</v>
      </c>
    </row>
    <row r="43" spans="1:9" x14ac:dyDescent="0.3">
      <c r="A43" s="11" t="s">
        <v>29</v>
      </c>
      <c r="B43" s="11" t="s">
        <v>28</v>
      </c>
      <c r="C43" s="11" t="s">
        <v>25</v>
      </c>
      <c r="D43" s="12" t="s">
        <v>23</v>
      </c>
      <c r="E43" s="11">
        <v>28</v>
      </c>
      <c r="F43" s="11">
        <v>25200</v>
      </c>
      <c r="G43" s="11">
        <v>12720</v>
      </c>
      <c r="H43" s="11">
        <v>1903.7288135593208</v>
      </c>
      <c r="I43" s="11">
        <f t="shared" si="0"/>
        <v>900</v>
      </c>
    </row>
    <row r="44" spans="1:9" x14ac:dyDescent="0.3">
      <c r="A44" s="9" t="s">
        <v>29</v>
      </c>
      <c r="B44" s="9" t="s">
        <v>28</v>
      </c>
      <c r="C44" s="9" t="s">
        <v>13</v>
      </c>
      <c r="D44" s="10" t="s">
        <v>14</v>
      </c>
      <c r="E44" s="11">
        <v>164</v>
      </c>
      <c r="F44" s="11">
        <v>61500</v>
      </c>
      <c r="G44" s="11">
        <v>38168</v>
      </c>
      <c r="H44" s="11">
        <v>1111.0476190476184</v>
      </c>
      <c r="I44" s="11">
        <f t="shared" si="0"/>
        <v>375</v>
      </c>
    </row>
    <row r="45" spans="1:9" x14ac:dyDescent="0.3">
      <c r="A45" s="11" t="s">
        <v>29</v>
      </c>
      <c r="B45" s="11" t="s">
        <v>28</v>
      </c>
      <c r="C45" s="11" t="s">
        <v>15</v>
      </c>
      <c r="D45" s="12" t="s">
        <v>14</v>
      </c>
      <c r="E45" s="11">
        <v>0</v>
      </c>
      <c r="F45" s="11">
        <v>0</v>
      </c>
      <c r="G45" s="11">
        <v>0</v>
      </c>
      <c r="H45" s="11">
        <v>0</v>
      </c>
      <c r="I45" s="11">
        <f t="shared" si="0"/>
        <v>0</v>
      </c>
    </row>
    <row r="46" spans="1:9" x14ac:dyDescent="0.3">
      <c r="A46" s="9" t="s">
        <v>29</v>
      </c>
      <c r="B46" s="9" t="s">
        <v>28</v>
      </c>
      <c r="C46" s="9" t="s">
        <v>12</v>
      </c>
      <c r="D46" s="10" t="s">
        <v>11</v>
      </c>
      <c r="E46" s="11">
        <v>8</v>
      </c>
      <c r="F46" s="11">
        <v>4800</v>
      </c>
      <c r="G46" s="11">
        <v>1188</v>
      </c>
      <c r="H46" s="11">
        <v>172</v>
      </c>
      <c r="I46" s="11">
        <f t="shared" si="0"/>
        <v>600</v>
      </c>
    </row>
    <row r="47" spans="1:9" x14ac:dyDescent="0.3">
      <c r="A47" s="11" t="s">
        <v>29</v>
      </c>
      <c r="B47" s="11" t="s">
        <v>28</v>
      </c>
      <c r="C47" s="11" t="s">
        <v>19</v>
      </c>
      <c r="D47" s="12" t="s">
        <v>17</v>
      </c>
      <c r="E47" s="11">
        <v>4</v>
      </c>
      <c r="F47" s="11">
        <v>4600</v>
      </c>
      <c r="G47" s="11">
        <v>1120</v>
      </c>
      <c r="H47" s="11">
        <v>372.85714285714312</v>
      </c>
      <c r="I47" s="11">
        <f t="shared" si="0"/>
        <v>1150</v>
      </c>
    </row>
    <row r="48" spans="1:9" x14ac:dyDescent="0.3">
      <c r="A48" s="9" t="s">
        <v>29</v>
      </c>
      <c r="B48" s="9" t="s">
        <v>28</v>
      </c>
      <c r="C48" s="9" t="s">
        <v>22</v>
      </c>
      <c r="D48" s="10" t="s">
        <v>23</v>
      </c>
      <c r="E48" s="11">
        <v>96</v>
      </c>
      <c r="F48" s="11">
        <v>19104</v>
      </c>
      <c r="G48" s="11">
        <v>9560</v>
      </c>
      <c r="H48" s="11">
        <v>454.47619047619082</v>
      </c>
      <c r="I48" s="11">
        <f t="shared" si="0"/>
        <v>199</v>
      </c>
    </row>
    <row r="49" spans="1:9" x14ac:dyDescent="0.3">
      <c r="A49" s="11" t="s">
        <v>29</v>
      </c>
      <c r="B49" s="11" t="s">
        <v>28</v>
      </c>
      <c r="C49" s="11" t="s">
        <v>25</v>
      </c>
      <c r="D49" s="12" t="s">
        <v>23</v>
      </c>
      <c r="E49" s="11">
        <v>16</v>
      </c>
      <c r="F49" s="11">
        <v>14400</v>
      </c>
      <c r="G49" s="11">
        <v>7236</v>
      </c>
      <c r="H49" s="11">
        <v>1092.8135593220331</v>
      </c>
      <c r="I49" s="11">
        <f t="shared" si="0"/>
        <v>900</v>
      </c>
    </row>
    <row r="50" spans="1:9" x14ac:dyDescent="0.3">
      <c r="A50" s="9" t="s">
        <v>29</v>
      </c>
      <c r="B50" s="9" t="s">
        <v>28</v>
      </c>
      <c r="C50" s="9" t="s">
        <v>13</v>
      </c>
      <c r="D50" s="10" t="s">
        <v>14</v>
      </c>
      <c r="E50" s="11">
        <v>184</v>
      </c>
      <c r="F50" s="11">
        <v>69000</v>
      </c>
      <c r="G50" s="11">
        <v>42668</v>
      </c>
      <c r="H50" s="11">
        <v>1253.9047619047633</v>
      </c>
      <c r="I50" s="11">
        <f t="shared" si="0"/>
        <v>375</v>
      </c>
    </row>
    <row r="51" spans="1:9" x14ac:dyDescent="0.3">
      <c r="A51" s="11" t="s">
        <v>29</v>
      </c>
      <c r="B51" s="11" t="s">
        <v>28</v>
      </c>
      <c r="C51" s="11" t="s">
        <v>15</v>
      </c>
      <c r="D51" s="12" t="s">
        <v>14</v>
      </c>
      <c r="E51" s="11">
        <v>20</v>
      </c>
      <c r="F51" s="11">
        <v>3300</v>
      </c>
      <c r="G51" s="11">
        <v>1976</v>
      </c>
      <c r="H51" s="11">
        <v>63.047619047619037</v>
      </c>
      <c r="I51" s="11">
        <f t="shared" si="0"/>
        <v>165</v>
      </c>
    </row>
    <row r="52" spans="1:9" x14ac:dyDescent="0.3">
      <c r="A52" s="9" t="s">
        <v>29</v>
      </c>
      <c r="B52" s="9" t="s">
        <v>28</v>
      </c>
      <c r="C52" s="9" t="s">
        <v>10</v>
      </c>
      <c r="D52" s="10" t="s">
        <v>11</v>
      </c>
      <c r="E52" s="11">
        <v>4</v>
      </c>
      <c r="F52" s="11">
        <v>1340</v>
      </c>
      <c r="G52" s="11">
        <v>324</v>
      </c>
      <c r="H52" s="11">
        <v>48.380952380952408</v>
      </c>
      <c r="I52" s="11">
        <f t="shared" si="0"/>
        <v>335</v>
      </c>
    </row>
    <row r="53" spans="1:9" x14ac:dyDescent="0.3">
      <c r="A53" s="11" t="s">
        <v>29</v>
      </c>
      <c r="B53" s="11" t="s">
        <v>28</v>
      </c>
      <c r="C53" s="11" t="s">
        <v>19</v>
      </c>
      <c r="D53" s="12" t="s">
        <v>17</v>
      </c>
      <c r="E53" s="11">
        <v>8</v>
      </c>
      <c r="F53" s="11">
        <v>9200</v>
      </c>
      <c r="G53" s="11">
        <v>2320</v>
      </c>
      <c r="H53" s="11">
        <v>737.14285714285779</v>
      </c>
      <c r="I53" s="11">
        <f t="shared" si="0"/>
        <v>1150</v>
      </c>
    </row>
    <row r="54" spans="1:9" x14ac:dyDescent="0.3">
      <c r="A54" s="9" t="s">
        <v>29</v>
      </c>
      <c r="B54" s="9" t="s">
        <v>28</v>
      </c>
      <c r="C54" s="9" t="s">
        <v>22</v>
      </c>
      <c r="D54" s="10" t="s">
        <v>23</v>
      </c>
      <c r="E54" s="11">
        <v>36</v>
      </c>
      <c r="F54" s="11">
        <v>7164</v>
      </c>
      <c r="G54" s="11">
        <v>3580</v>
      </c>
      <c r="H54" s="11">
        <v>170.66666666666697</v>
      </c>
      <c r="I54" s="11">
        <f t="shared" si="0"/>
        <v>199</v>
      </c>
    </row>
    <row r="55" spans="1:9" x14ac:dyDescent="0.3">
      <c r="A55" s="11" t="s">
        <v>29</v>
      </c>
      <c r="B55" s="11" t="s">
        <v>28</v>
      </c>
      <c r="C55" s="11" t="s">
        <v>25</v>
      </c>
      <c r="D55" s="12" t="s">
        <v>23</v>
      </c>
      <c r="E55" s="11">
        <v>4</v>
      </c>
      <c r="F55" s="11">
        <v>3600</v>
      </c>
      <c r="G55" s="11">
        <v>1844</v>
      </c>
      <c r="H55" s="11">
        <v>267.86440677966084</v>
      </c>
      <c r="I55" s="11">
        <f t="shared" si="0"/>
        <v>900</v>
      </c>
    </row>
    <row r="56" spans="1:9" x14ac:dyDescent="0.3">
      <c r="A56" s="9" t="s">
        <v>29</v>
      </c>
      <c r="B56" s="9" t="s">
        <v>28</v>
      </c>
      <c r="C56" s="9" t="s">
        <v>13</v>
      </c>
      <c r="D56" s="10" t="s">
        <v>14</v>
      </c>
      <c r="E56" s="11">
        <v>164</v>
      </c>
      <c r="F56" s="11">
        <v>61500</v>
      </c>
      <c r="G56" s="11">
        <v>38064</v>
      </c>
      <c r="H56" s="11">
        <v>1116</v>
      </c>
      <c r="I56" s="11">
        <f t="shared" si="0"/>
        <v>375</v>
      </c>
    </row>
    <row r="57" spans="1:9" x14ac:dyDescent="0.3">
      <c r="A57" s="11" t="s">
        <v>29</v>
      </c>
      <c r="B57" s="11" t="s">
        <v>28</v>
      </c>
      <c r="C57" s="11" t="s">
        <v>15</v>
      </c>
      <c r="D57" s="12" t="s">
        <v>14</v>
      </c>
      <c r="E57" s="11">
        <v>20</v>
      </c>
      <c r="F57" s="11">
        <v>3300</v>
      </c>
      <c r="G57" s="11">
        <v>2000</v>
      </c>
      <c r="H57" s="11">
        <v>61.904761904761926</v>
      </c>
      <c r="I57" s="11">
        <f t="shared" si="0"/>
        <v>165</v>
      </c>
    </row>
    <row r="58" spans="1:9" x14ac:dyDescent="0.3">
      <c r="A58" s="9" t="s">
        <v>29</v>
      </c>
      <c r="B58" s="9" t="s">
        <v>28</v>
      </c>
      <c r="C58" s="9" t="s">
        <v>10</v>
      </c>
      <c r="D58" s="10" t="s">
        <v>11</v>
      </c>
      <c r="E58" s="11">
        <v>4</v>
      </c>
      <c r="F58" s="11">
        <v>1340</v>
      </c>
      <c r="G58" s="11">
        <v>344</v>
      </c>
      <c r="H58" s="11">
        <v>47.428571428571445</v>
      </c>
      <c r="I58" s="11">
        <f t="shared" si="0"/>
        <v>335</v>
      </c>
    </row>
    <row r="59" spans="1:9" x14ac:dyDescent="0.3">
      <c r="A59" s="11" t="s">
        <v>29</v>
      </c>
      <c r="B59" s="11" t="s">
        <v>28</v>
      </c>
      <c r="C59" s="11" t="s">
        <v>18</v>
      </c>
      <c r="D59" s="12" t="s">
        <v>17</v>
      </c>
      <c r="E59" s="11">
        <v>4</v>
      </c>
      <c r="F59" s="11">
        <v>2300</v>
      </c>
      <c r="G59" s="11">
        <v>484</v>
      </c>
      <c r="H59" s="11">
        <v>194.57142857142867</v>
      </c>
      <c r="I59" s="11">
        <f t="shared" si="0"/>
        <v>575</v>
      </c>
    </row>
    <row r="60" spans="1:9" x14ac:dyDescent="0.3">
      <c r="A60" s="9" t="s">
        <v>29</v>
      </c>
      <c r="B60" s="9" t="s">
        <v>28</v>
      </c>
      <c r="C60" s="9" t="s">
        <v>21</v>
      </c>
      <c r="D60" s="10" t="s">
        <v>11</v>
      </c>
      <c r="E60" s="11">
        <v>4</v>
      </c>
      <c r="F60" s="11">
        <v>4800</v>
      </c>
      <c r="G60" s="11">
        <v>1216</v>
      </c>
      <c r="H60" s="11">
        <v>170.66666666666697</v>
      </c>
      <c r="I60" s="11">
        <f t="shared" si="0"/>
        <v>1200</v>
      </c>
    </row>
    <row r="61" spans="1:9" x14ac:dyDescent="0.3">
      <c r="A61" s="11" t="s">
        <v>29</v>
      </c>
      <c r="B61" s="11" t="s">
        <v>28</v>
      </c>
      <c r="C61" s="11" t="s">
        <v>20</v>
      </c>
      <c r="D61" s="12" t="s">
        <v>14</v>
      </c>
      <c r="E61" s="11">
        <v>4</v>
      </c>
      <c r="F61" s="11">
        <v>3000</v>
      </c>
      <c r="G61" s="11">
        <v>1408</v>
      </c>
      <c r="H61" s="11">
        <v>75.809523809523853</v>
      </c>
      <c r="I61" s="11">
        <f t="shared" si="0"/>
        <v>750</v>
      </c>
    </row>
    <row r="62" spans="1:9" x14ac:dyDescent="0.3">
      <c r="A62" s="9" t="s">
        <v>29</v>
      </c>
      <c r="B62" s="9" t="s">
        <v>28</v>
      </c>
      <c r="C62" s="9" t="s">
        <v>22</v>
      </c>
      <c r="D62" s="10" t="s">
        <v>23</v>
      </c>
      <c r="E62" s="11">
        <v>36</v>
      </c>
      <c r="F62" s="11">
        <v>7164</v>
      </c>
      <c r="G62" s="11">
        <v>3600</v>
      </c>
      <c r="H62" s="11">
        <v>169.71428571428578</v>
      </c>
      <c r="I62" s="11">
        <f t="shared" si="0"/>
        <v>199</v>
      </c>
    </row>
    <row r="63" spans="1:9" x14ac:dyDescent="0.3">
      <c r="A63" s="11" t="s">
        <v>29</v>
      </c>
      <c r="B63" s="11" t="s">
        <v>28</v>
      </c>
      <c r="C63" s="11" t="s">
        <v>25</v>
      </c>
      <c r="D63" s="12" t="s">
        <v>23</v>
      </c>
      <c r="E63" s="11">
        <v>8</v>
      </c>
      <c r="F63" s="11">
        <v>7200</v>
      </c>
      <c r="G63" s="11">
        <v>3648</v>
      </c>
      <c r="H63" s="11">
        <v>541.83050847457616</v>
      </c>
      <c r="I63" s="11">
        <f t="shared" si="0"/>
        <v>900</v>
      </c>
    </row>
    <row r="64" spans="1:9" x14ac:dyDescent="0.3">
      <c r="A64" s="9" t="s">
        <v>29</v>
      </c>
      <c r="B64" s="9" t="s">
        <v>28</v>
      </c>
      <c r="C64" s="9" t="s">
        <v>13</v>
      </c>
      <c r="D64" s="10" t="s">
        <v>14</v>
      </c>
      <c r="E64" s="11">
        <v>296</v>
      </c>
      <c r="F64" s="11">
        <v>111000</v>
      </c>
      <c r="G64" s="11">
        <v>68652</v>
      </c>
      <c r="H64" s="11">
        <v>2016.5714285714275</v>
      </c>
      <c r="I64" s="11">
        <f t="shared" si="0"/>
        <v>375</v>
      </c>
    </row>
    <row r="65" spans="1:9" x14ac:dyDescent="0.3">
      <c r="A65" s="11" t="s">
        <v>29</v>
      </c>
      <c r="B65" s="11" t="s">
        <v>28</v>
      </c>
      <c r="C65" s="11" t="s">
        <v>12</v>
      </c>
      <c r="D65" s="12" t="s">
        <v>11</v>
      </c>
      <c r="E65" s="11">
        <v>4</v>
      </c>
      <c r="F65" s="11">
        <v>2400</v>
      </c>
      <c r="G65" s="11">
        <v>404</v>
      </c>
      <c r="H65" s="11">
        <v>95.047619047619037</v>
      </c>
      <c r="I65" s="11">
        <f t="shared" si="0"/>
        <v>600</v>
      </c>
    </row>
    <row r="66" spans="1:9" x14ac:dyDescent="0.3">
      <c r="A66" s="9" t="s">
        <v>29</v>
      </c>
      <c r="B66" s="9" t="s">
        <v>28</v>
      </c>
      <c r="C66" s="9" t="s">
        <v>10</v>
      </c>
      <c r="D66" s="10" t="s">
        <v>11</v>
      </c>
      <c r="E66" s="11">
        <v>4</v>
      </c>
      <c r="F66" s="11">
        <v>1340</v>
      </c>
      <c r="G66" s="11">
        <v>344</v>
      </c>
      <c r="H66" s="11">
        <v>47.428571428571445</v>
      </c>
      <c r="I66" s="11">
        <f t="shared" si="0"/>
        <v>335</v>
      </c>
    </row>
    <row r="67" spans="1:9" x14ac:dyDescent="0.3">
      <c r="A67" s="11" t="s">
        <v>29</v>
      </c>
      <c r="B67" s="11" t="s">
        <v>28</v>
      </c>
      <c r="C67" s="11" t="s">
        <v>22</v>
      </c>
      <c r="D67" s="12" t="s">
        <v>23</v>
      </c>
      <c r="E67" s="11">
        <v>72</v>
      </c>
      <c r="F67" s="11">
        <v>14328</v>
      </c>
      <c r="G67" s="11">
        <v>7180</v>
      </c>
      <c r="H67" s="11">
        <v>340.38095238095229</v>
      </c>
      <c r="I67" s="11">
        <f t="shared" ref="I67:I130" si="1">IFERROR((F67/E67),0)</f>
        <v>199</v>
      </c>
    </row>
    <row r="68" spans="1:9" x14ac:dyDescent="0.3">
      <c r="A68" s="9" t="s">
        <v>29</v>
      </c>
      <c r="B68" s="9" t="s">
        <v>28</v>
      </c>
      <c r="C68" s="9" t="s">
        <v>24</v>
      </c>
      <c r="D68" s="10" t="s">
        <v>23</v>
      </c>
      <c r="E68" s="11">
        <v>4</v>
      </c>
      <c r="F68" s="11">
        <v>1800</v>
      </c>
      <c r="G68" s="11">
        <v>500</v>
      </c>
      <c r="H68" s="11">
        <v>61.904761904761926</v>
      </c>
      <c r="I68" s="11">
        <f t="shared" si="1"/>
        <v>450</v>
      </c>
    </row>
    <row r="69" spans="1:9" x14ac:dyDescent="0.3">
      <c r="A69" s="11" t="s">
        <v>29</v>
      </c>
      <c r="B69" s="11" t="s">
        <v>28</v>
      </c>
      <c r="C69" s="11" t="s">
        <v>25</v>
      </c>
      <c r="D69" s="12" t="s">
        <v>23</v>
      </c>
      <c r="E69" s="11">
        <v>8</v>
      </c>
      <c r="F69" s="11">
        <v>7200</v>
      </c>
      <c r="G69" s="11">
        <v>3708</v>
      </c>
      <c r="H69" s="11">
        <v>532.67796610169489</v>
      </c>
      <c r="I69" s="11">
        <f t="shared" si="1"/>
        <v>900</v>
      </c>
    </row>
    <row r="70" spans="1:9" x14ac:dyDescent="0.3">
      <c r="A70" s="9" t="s">
        <v>29</v>
      </c>
      <c r="B70" s="9" t="s">
        <v>28</v>
      </c>
      <c r="C70" s="9" t="s">
        <v>13</v>
      </c>
      <c r="D70" s="10" t="s">
        <v>14</v>
      </c>
      <c r="E70" s="11">
        <v>256</v>
      </c>
      <c r="F70" s="11">
        <v>96000</v>
      </c>
      <c r="G70" s="11">
        <v>61800</v>
      </c>
      <c r="H70" s="11">
        <v>1628.5714285714312</v>
      </c>
      <c r="I70" s="11">
        <f t="shared" si="1"/>
        <v>375</v>
      </c>
    </row>
    <row r="71" spans="1:9" x14ac:dyDescent="0.3">
      <c r="A71" s="11" t="s">
        <v>29</v>
      </c>
      <c r="B71" s="11" t="s">
        <v>28</v>
      </c>
      <c r="C71" s="11" t="s">
        <v>15</v>
      </c>
      <c r="D71" s="12" t="s">
        <v>14</v>
      </c>
      <c r="E71" s="11">
        <v>12</v>
      </c>
      <c r="F71" s="11">
        <v>1980</v>
      </c>
      <c r="G71" s="11">
        <v>948</v>
      </c>
      <c r="H71" s="11">
        <v>49.142857142857224</v>
      </c>
      <c r="I71" s="11">
        <f t="shared" si="1"/>
        <v>165</v>
      </c>
    </row>
    <row r="72" spans="1:9" x14ac:dyDescent="0.3">
      <c r="A72" s="9" t="s">
        <v>29</v>
      </c>
      <c r="B72" s="9" t="s">
        <v>28</v>
      </c>
      <c r="C72" s="9" t="s">
        <v>22</v>
      </c>
      <c r="D72" s="10" t="s">
        <v>23</v>
      </c>
      <c r="E72" s="11">
        <v>24</v>
      </c>
      <c r="F72" s="11">
        <v>4776</v>
      </c>
      <c r="G72" s="11">
        <v>2400</v>
      </c>
      <c r="H72" s="11">
        <v>113.14285714285734</v>
      </c>
      <c r="I72" s="11">
        <f t="shared" si="1"/>
        <v>199</v>
      </c>
    </row>
    <row r="73" spans="1:9" x14ac:dyDescent="0.3">
      <c r="A73" s="11" t="s">
        <v>29</v>
      </c>
      <c r="B73" s="11" t="s">
        <v>28</v>
      </c>
      <c r="C73" s="11" t="s">
        <v>24</v>
      </c>
      <c r="D73" s="12" t="s">
        <v>23</v>
      </c>
      <c r="E73" s="11">
        <v>4</v>
      </c>
      <c r="F73" s="11">
        <v>1800</v>
      </c>
      <c r="G73" s="11">
        <v>500</v>
      </c>
      <c r="H73" s="11">
        <v>61.904761904761926</v>
      </c>
      <c r="I73" s="11">
        <f t="shared" si="1"/>
        <v>450</v>
      </c>
    </row>
    <row r="74" spans="1:9" x14ac:dyDescent="0.3">
      <c r="A74" s="9" t="s">
        <v>29</v>
      </c>
      <c r="B74" s="9" t="s">
        <v>28</v>
      </c>
      <c r="C74" s="9" t="s">
        <v>25</v>
      </c>
      <c r="D74" s="10" t="s">
        <v>23</v>
      </c>
      <c r="E74" s="11">
        <v>12</v>
      </c>
      <c r="F74" s="11">
        <v>10800</v>
      </c>
      <c r="G74" s="11">
        <v>5532</v>
      </c>
      <c r="H74" s="11">
        <v>803.59322033898297</v>
      </c>
      <c r="I74" s="11">
        <f t="shared" si="1"/>
        <v>900</v>
      </c>
    </row>
    <row r="75" spans="1:9" x14ac:dyDescent="0.3">
      <c r="A75" s="11" t="s">
        <v>29</v>
      </c>
      <c r="B75" s="11" t="s">
        <v>28</v>
      </c>
      <c r="C75" s="11" t="s">
        <v>13</v>
      </c>
      <c r="D75" s="12" t="s">
        <v>14</v>
      </c>
      <c r="E75" s="11">
        <v>184</v>
      </c>
      <c r="F75" s="11">
        <v>69000</v>
      </c>
      <c r="G75" s="11">
        <v>45928</v>
      </c>
      <c r="H75" s="11">
        <v>1098.6666666666679</v>
      </c>
      <c r="I75" s="11">
        <f t="shared" si="1"/>
        <v>375</v>
      </c>
    </row>
    <row r="76" spans="1:9" x14ac:dyDescent="0.3">
      <c r="A76" s="9" t="s">
        <v>29</v>
      </c>
      <c r="B76" s="9" t="s">
        <v>28</v>
      </c>
      <c r="C76" s="9" t="s">
        <v>15</v>
      </c>
      <c r="D76" s="10" t="s">
        <v>14</v>
      </c>
      <c r="E76" s="11">
        <v>0</v>
      </c>
      <c r="F76" s="11">
        <v>0</v>
      </c>
      <c r="G76" s="11">
        <v>0</v>
      </c>
      <c r="H76" s="11">
        <v>0</v>
      </c>
      <c r="I76" s="11">
        <f t="shared" si="1"/>
        <v>0</v>
      </c>
    </row>
    <row r="77" spans="1:9" x14ac:dyDescent="0.3">
      <c r="A77" s="11" t="s">
        <v>29</v>
      </c>
      <c r="B77" s="11" t="s">
        <v>28</v>
      </c>
      <c r="C77" s="11" t="s">
        <v>12</v>
      </c>
      <c r="D77" s="12" t="s">
        <v>11</v>
      </c>
      <c r="E77" s="11">
        <v>4</v>
      </c>
      <c r="F77" s="11">
        <v>2400</v>
      </c>
      <c r="G77" s="11">
        <v>432</v>
      </c>
      <c r="H77" s="11">
        <v>93.714285714285779</v>
      </c>
      <c r="I77" s="11">
        <f t="shared" si="1"/>
        <v>600</v>
      </c>
    </row>
    <row r="78" spans="1:9" x14ac:dyDescent="0.3">
      <c r="A78" s="9" t="s">
        <v>29</v>
      </c>
      <c r="B78" s="9" t="s">
        <v>28</v>
      </c>
      <c r="C78" s="9" t="s">
        <v>18</v>
      </c>
      <c r="D78" s="10" t="s">
        <v>17</v>
      </c>
      <c r="E78" s="11">
        <v>4</v>
      </c>
      <c r="F78" s="11">
        <v>2300</v>
      </c>
      <c r="G78" s="11">
        <v>304</v>
      </c>
      <c r="H78" s="11">
        <v>213.85714285714312</v>
      </c>
      <c r="I78" s="11">
        <f t="shared" si="1"/>
        <v>575</v>
      </c>
    </row>
    <row r="79" spans="1:9" x14ac:dyDescent="0.3">
      <c r="A79" s="11" t="s">
        <v>29</v>
      </c>
      <c r="B79" s="11" t="s">
        <v>28</v>
      </c>
      <c r="C79" s="11" t="s">
        <v>21</v>
      </c>
      <c r="D79" s="12" t="s">
        <v>11</v>
      </c>
      <c r="E79" s="11">
        <v>4</v>
      </c>
      <c r="F79" s="11">
        <v>4800</v>
      </c>
      <c r="G79" s="11">
        <v>1004</v>
      </c>
      <c r="H79" s="11">
        <v>180.76190476190504</v>
      </c>
      <c r="I79" s="11">
        <f t="shared" si="1"/>
        <v>1200</v>
      </c>
    </row>
    <row r="80" spans="1:9" x14ac:dyDescent="0.3">
      <c r="A80" s="9" t="s">
        <v>29</v>
      </c>
      <c r="B80" s="9" t="s">
        <v>28</v>
      </c>
      <c r="C80" s="9" t="s">
        <v>20</v>
      </c>
      <c r="D80" s="10" t="s">
        <v>14</v>
      </c>
      <c r="E80" s="11">
        <v>4</v>
      </c>
      <c r="F80" s="11">
        <v>3000</v>
      </c>
      <c r="G80" s="11">
        <v>1204</v>
      </c>
      <c r="H80" s="11">
        <v>85.523809523809632</v>
      </c>
      <c r="I80" s="11">
        <f t="shared" si="1"/>
        <v>750</v>
      </c>
    </row>
    <row r="81" spans="1:9" x14ac:dyDescent="0.3">
      <c r="A81" s="11" t="s">
        <v>29</v>
      </c>
      <c r="B81" s="11" t="s">
        <v>28</v>
      </c>
      <c r="C81" s="11" t="s">
        <v>22</v>
      </c>
      <c r="D81" s="12" t="s">
        <v>23</v>
      </c>
      <c r="E81" s="11">
        <v>36</v>
      </c>
      <c r="F81" s="11">
        <v>7164</v>
      </c>
      <c r="G81" s="11">
        <v>3628</v>
      </c>
      <c r="H81" s="11">
        <v>168.38095238095275</v>
      </c>
      <c r="I81" s="11">
        <f t="shared" si="1"/>
        <v>199</v>
      </c>
    </row>
    <row r="82" spans="1:9" x14ac:dyDescent="0.3">
      <c r="A82" s="9" t="s">
        <v>29</v>
      </c>
      <c r="B82" s="9" t="s">
        <v>28</v>
      </c>
      <c r="C82" s="9" t="s">
        <v>24</v>
      </c>
      <c r="D82" s="10" t="s">
        <v>23</v>
      </c>
      <c r="E82" s="11">
        <v>12</v>
      </c>
      <c r="F82" s="11">
        <v>5400</v>
      </c>
      <c r="G82" s="11">
        <v>1460</v>
      </c>
      <c r="H82" s="11">
        <v>187.61904761904771</v>
      </c>
      <c r="I82" s="11">
        <f t="shared" si="1"/>
        <v>450</v>
      </c>
    </row>
    <row r="83" spans="1:9" x14ac:dyDescent="0.3">
      <c r="A83" s="11" t="s">
        <v>29</v>
      </c>
      <c r="B83" s="11" t="s">
        <v>28</v>
      </c>
      <c r="C83" s="11" t="s">
        <v>25</v>
      </c>
      <c r="D83" s="12" t="s">
        <v>23</v>
      </c>
      <c r="E83" s="11">
        <v>12</v>
      </c>
      <c r="F83" s="11">
        <v>10800</v>
      </c>
      <c r="G83" s="11">
        <v>5524</v>
      </c>
      <c r="H83" s="11">
        <v>804.81355932203405</v>
      </c>
      <c r="I83" s="11">
        <f t="shared" si="1"/>
        <v>900</v>
      </c>
    </row>
    <row r="84" spans="1:9" x14ac:dyDescent="0.3">
      <c r="A84" s="9" t="s">
        <v>29</v>
      </c>
      <c r="B84" s="9" t="s">
        <v>28</v>
      </c>
      <c r="C84" s="9" t="s">
        <v>13</v>
      </c>
      <c r="D84" s="10" t="s">
        <v>14</v>
      </c>
      <c r="E84" s="11">
        <v>396</v>
      </c>
      <c r="F84" s="11">
        <v>148500</v>
      </c>
      <c r="G84" s="11">
        <v>105416</v>
      </c>
      <c r="H84" s="11">
        <v>2051.6190476190459</v>
      </c>
      <c r="I84" s="11">
        <f t="shared" si="1"/>
        <v>375</v>
      </c>
    </row>
    <row r="85" spans="1:9" x14ac:dyDescent="0.3">
      <c r="A85" s="11" t="s">
        <v>29</v>
      </c>
      <c r="B85" s="11" t="s">
        <v>28</v>
      </c>
      <c r="C85" s="11" t="s">
        <v>15</v>
      </c>
      <c r="D85" s="12" t="s">
        <v>14</v>
      </c>
      <c r="E85" s="11">
        <v>24</v>
      </c>
      <c r="F85" s="11">
        <v>3960</v>
      </c>
      <c r="G85" s="11">
        <v>1860</v>
      </c>
      <c r="H85" s="11">
        <v>100</v>
      </c>
      <c r="I85" s="11">
        <f t="shared" si="1"/>
        <v>165</v>
      </c>
    </row>
    <row r="86" spans="1:9" x14ac:dyDescent="0.3">
      <c r="A86" s="9" t="s">
        <v>29</v>
      </c>
      <c r="B86" s="9" t="s">
        <v>28</v>
      </c>
      <c r="C86" s="9" t="s">
        <v>12</v>
      </c>
      <c r="D86" s="10" t="s">
        <v>11</v>
      </c>
      <c r="E86" s="11">
        <v>32</v>
      </c>
      <c r="F86" s="11">
        <v>19200</v>
      </c>
      <c r="G86" s="11">
        <v>7772</v>
      </c>
      <c r="H86" s="11">
        <v>544.19047619047706</v>
      </c>
      <c r="I86" s="11">
        <f t="shared" si="1"/>
        <v>600</v>
      </c>
    </row>
    <row r="87" spans="1:9" x14ac:dyDescent="0.3">
      <c r="A87" s="11" t="s">
        <v>29</v>
      </c>
      <c r="B87" s="11" t="s">
        <v>28</v>
      </c>
      <c r="C87" s="11" t="s">
        <v>10</v>
      </c>
      <c r="D87" s="12" t="s">
        <v>11</v>
      </c>
      <c r="E87" s="11">
        <v>4</v>
      </c>
      <c r="F87" s="11">
        <v>1340</v>
      </c>
      <c r="G87" s="11">
        <v>140</v>
      </c>
      <c r="H87" s="11">
        <v>57.14285714285711</v>
      </c>
      <c r="I87" s="11">
        <f t="shared" si="1"/>
        <v>335</v>
      </c>
    </row>
    <row r="88" spans="1:9" x14ac:dyDescent="0.3">
      <c r="A88" s="9" t="s">
        <v>29</v>
      </c>
      <c r="B88" s="9" t="s">
        <v>28</v>
      </c>
      <c r="C88" s="9" t="s">
        <v>18</v>
      </c>
      <c r="D88" s="10" t="s">
        <v>17</v>
      </c>
      <c r="E88" s="11">
        <v>16</v>
      </c>
      <c r="F88" s="11">
        <v>9200</v>
      </c>
      <c r="G88" s="11">
        <v>2504</v>
      </c>
      <c r="H88" s="11">
        <v>717.42857142857156</v>
      </c>
      <c r="I88" s="11">
        <f t="shared" si="1"/>
        <v>575</v>
      </c>
    </row>
    <row r="89" spans="1:9" x14ac:dyDescent="0.3">
      <c r="A89" s="11" t="s">
        <v>29</v>
      </c>
      <c r="B89" s="11" t="s">
        <v>28</v>
      </c>
      <c r="C89" s="11" t="s">
        <v>19</v>
      </c>
      <c r="D89" s="12" t="s">
        <v>17</v>
      </c>
      <c r="E89" s="11">
        <v>4</v>
      </c>
      <c r="F89" s="11">
        <v>4600</v>
      </c>
      <c r="G89" s="11">
        <v>1444</v>
      </c>
      <c r="H89" s="11">
        <v>338.14285714285734</v>
      </c>
      <c r="I89" s="11">
        <f t="shared" si="1"/>
        <v>1150</v>
      </c>
    </row>
    <row r="90" spans="1:9" x14ac:dyDescent="0.3">
      <c r="A90" s="9" t="s">
        <v>29</v>
      </c>
      <c r="B90" s="9" t="s">
        <v>28</v>
      </c>
      <c r="C90" s="9" t="s">
        <v>21</v>
      </c>
      <c r="D90" s="10" t="s">
        <v>11</v>
      </c>
      <c r="E90" s="11">
        <v>152</v>
      </c>
      <c r="F90" s="11">
        <v>182400</v>
      </c>
      <c r="G90" s="11">
        <v>84192</v>
      </c>
      <c r="H90" s="11">
        <v>4676.5714285714348</v>
      </c>
      <c r="I90" s="11">
        <f t="shared" si="1"/>
        <v>1200</v>
      </c>
    </row>
    <row r="91" spans="1:9" x14ac:dyDescent="0.3">
      <c r="A91" s="11" t="s">
        <v>29</v>
      </c>
      <c r="B91" s="11" t="s">
        <v>28</v>
      </c>
      <c r="C91" s="11" t="s">
        <v>22</v>
      </c>
      <c r="D91" s="12" t="s">
        <v>23</v>
      </c>
      <c r="E91" s="11">
        <v>24</v>
      </c>
      <c r="F91" s="11">
        <v>4776</v>
      </c>
      <c r="G91" s="11">
        <v>2380</v>
      </c>
      <c r="H91" s="11">
        <v>114.09523809523807</v>
      </c>
      <c r="I91" s="11">
        <f t="shared" si="1"/>
        <v>199</v>
      </c>
    </row>
    <row r="92" spans="1:9" x14ac:dyDescent="0.3">
      <c r="A92" s="9" t="s">
        <v>29</v>
      </c>
      <c r="B92" s="9" t="s">
        <v>28</v>
      </c>
      <c r="C92" s="9" t="s">
        <v>24</v>
      </c>
      <c r="D92" s="10" t="s">
        <v>23</v>
      </c>
      <c r="E92" s="11">
        <v>32</v>
      </c>
      <c r="F92" s="11">
        <v>14400</v>
      </c>
      <c r="G92" s="11">
        <v>6468</v>
      </c>
      <c r="H92" s="11">
        <v>377.71428571428623</v>
      </c>
      <c r="I92" s="11">
        <f t="shared" si="1"/>
        <v>450</v>
      </c>
    </row>
    <row r="93" spans="1:9" x14ac:dyDescent="0.3">
      <c r="A93" s="11" t="s">
        <v>29</v>
      </c>
      <c r="B93" s="11" t="s">
        <v>28</v>
      </c>
      <c r="C93" s="11" t="s">
        <v>25</v>
      </c>
      <c r="D93" s="12" t="s">
        <v>23</v>
      </c>
      <c r="E93" s="11">
        <v>56</v>
      </c>
      <c r="F93" s="11">
        <v>50400</v>
      </c>
      <c r="G93" s="11">
        <v>28048</v>
      </c>
      <c r="H93" s="11">
        <v>3409.6271186440681</v>
      </c>
      <c r="I93" s="11">
        <f t="shared" si="1"/>
        <v>900</v>
      </c>
    </row>
    <row r="94" spans="1:9" x14ac:dyDescent="0.3">
      <c r="A94" s="9" t="s">
        <v>29</v>
      </c>
      <c r="B94" s="9" t="s">
        <v>28</v>
      </c>
      <c r="C94" s="9" t="s">
        <v>13</v>
      </c>
      <c r="D94" s="10" t="s">
        <v>14</v>
      </c>
      <c r="E94" s="11">
        <v>636</v>
      </c>
      <c r="F94" s="11">
        <v>238500</v>
      </c>
      <c r="G94" s="11">
        <v>172204</v>
      </c>
      <c r="H94" s="11">
        <v>3156.9523809523816</v>
      </c>
      <c r="I94" s="11">
        <f t="shared" si="1"/>
        <v>375</v>
      </c>
    </row>
    <row r="95" spans="1:9" x14ac:dyDescent="0.3">
      <c r="A95" s="11" t="s">
        <v>29</v>
      </c>
      <c r="B95" s="11" t="s">
        <v>28</v>
      </c>
      <c r="C95" s="11" t="s">
        <v>15</v>
      </c>
      <c r="D95" s="12" t="s">
        <v>14</v>
      </c>
      <c r="E95" s="11">
        <v>12</v>
      </c>
      <c r="F95" s="11">
        <v>1980</v>
      </c>
      <c r="G95" s="11">
        <v>892</v>
      </c>
      <c r="H95" s="11">
        <v>51.809523809523853</v>
      </c>
      <c r="I95" s="11">
        <f t="shared" si="1"/>
        <v>165</v>
      </c>
    </row>
    <row r="96" spans="1:9" x14ac:dyDescent="0.3">
      <c r="A96" s="9" t="s">
        <v>29</v>
      </c>
      <c r="B96" s="9" t="s">
        <v>28</v>
      </c>
      <c r="C96" s="9" t="s">
        <v>12</v>
      </c>
      <c r="D96" s="10" t="s">
        <v>11</v>
      </c>
      <c r="E96" s="11">
        <v>60</v>
      </c>
      <c r="F96" s="11">
        <v>36000</v>
      </c>
      <c r="G96" s="11">
        <v>14224</v>
      </c>
      <c r="H96" s="11">
        <v>1036.9523809523816</v>
      </c>
      <c r="I96" s="11">
        <f t="shared" si="1"/>
        <v>600</v>
      </c>
    </row>
    <row r="97" spans="1:9" x14ac:dyDescent="0.3">
      <c r="A97" s="11" t="s">
        <v>29</v>
      </c>
      <c r="B97" s="11" t="s">
        <v>28</v>
      </c>
      <c r="C97" s="11" t="s">
        <v>10</v>
      </c>
      <c r="D97" s="12" t="s">
        <v>11</v>
      </c>
      <c r="E97" s="11">
        <v>0</v>
      </c>
      <c r="F97" s="11">
        <v>0</v>
      </c>
      <c r="G97" s="11">
        <v>0</v>
      </c>
      <c r="H97" s="11">
        <v>0</v>
      </c>
      <c r="I97" s="11">
        <f t="shared" si="1"/>
        <v>0</v>
      </c>
    </row>
    <row r="98" spans="1:9" x14ac:dyDescent="0.3">
      <c r="A98" s="9" t="s">
        <v>29</v>
      </c>
      <c r="B98" s="9" t="s">
        <v>28</v>
      </c>
      <c r="C98" s="9" t="s">
        <v>18</v>
      </c>
      <c r="D98" s="10" t="s">
        <v>17</v>
      </c>
      <c r="E98" s="11">
        <v>16</v>
      </c>
      <c r="F98" s="11">
        <v>9200</v>
      </c>
      <c r="G98" s="11">
        <v>2928</v>
      </c>
      <c r="H98" s="11">
        <v>672.00000000000091</v>
      </c>
      <c r="I98" s="11">
        <f t="shared" si="1"/>
        <v>575</v>
      </c>
    </row>
    <row r="99" spans="1:9" x14ac:dyDescent="0.3">
      <c r="A99" s="11" t="s">
        <v>29</v>
      </c>
      <c r="B99" s="11" t="s">
        <v>28</v>
      </c>
      <c r="C99" s="11" t="s">
        <v>19</v>
      </c>
      <c r="D99" s="12" t="s">
        <v>17</v>
      </c>
      <c r="E99" s="11">
        <v>12</v>
      </c>
      <c r="F99" s="11">
        <v>13800</v>
      </c>
      <c r="G99" s="11">
        <v>5012</v>
      </c>
      <c r="H99" s="11">
        <v>941.57142857142935</v>
      </c>
      <c r="I99" s="11">
        <f t="shared" si="1"/>
        <v>1150</v>
      </c>
    </row>
    <row r="100" spans="1:9" x14ac:dyDescent="0.3">
      <c r="A100" s="9" t="s">
        <v>29</v>
      </c>
      <c r="B100" s="9" t="s">
        <v>28</v>
      </c>
      <c r="C100" s="9" t="s">
        <v>21</v>
      </c>
      <c r="D100" s="10" t="s">
        <v>11</v>
      </c>
      <c r="E100" s="11">
        <v>168</v>
      </c>
      <c r="F100" s="11">
        <v>201600</v>
      </c>
      <c r="G100" s="11">
        <v>90336</v>
      </c>
      <c r="H100" s="11">
        <v>5298.2857142857247</v>
      </c>
      <c r="I100" s="11">
        <f t="shared" si="1"/>
        <v>1200</v>
      </c>
    </row>
    <row r="101" spans="1:9" x14ac:dyDescent="0.3">
      <c r="A101" s="11" t="s">
        <v>29</v>
      </c>
      <c r="B101" s="11" t="s">
        <v>28</v>
      </c>
      <c r="C101" s="11" t="s">
        <v>22</v>
      </c>
      <c r="D101" s="12" t="s">
        <v>23</v>
      </c>
      <c r="E101" s="11">
        <v>36</v>
      </c>
      <c r="F101" s="11">
        <v>7164</v>
      </c>
      <c r="G101" s="11">
        <v>3580</v>
      </c>
      <c r="H101" s="11">
        <v>170.66666666666697</v>
      </c>
      <c r="I101" s="11">
        <f t="shared" si="1"/>
        <v>199</v>
      </c>
    </row>
    <row r="102" spans="1:9" x14ac:dyDescent="0.3">
      <c r="A102" s="9" t="s">
        <v>29</v>
      </c>
      <c r="B102" s="9" t="s">
        <v>28</v>
      </c>
      <c r="C102" s="9" t="s">
        <v>24</v>
      </c>
      <c r="D102" s="10" t="s">
        <v>23</v>
      </c>
      <c r="E102" s="11">
        <v>60</v>
      </c>
      <c r="F102" s="11">
        <v>27000</v>
      </c>
      <c r="G102" s="11">
        <v>13824</v>
      </c>
      <c r="H102" s="11">
        <v>627.42857142857247</v>
      </c>
      <c r="I102" s="11">
        <f t="shared" si="1"/>
        <v>450</v>
      </c>
    </row>
    <row r="103" spans="1:9" x14ac:dyDescent="0.3">
      <c r="A103" s="11" t="s">
        <v>29</v>
      </c>
      <c r="B103" s="11" t="s">
        <v>28</v>
      </c>
      <c r="C103" s="11" t="s">
        <v>25</v>
      </c>
      <c r="D103" s="12" t="s">
        <v>23</v>
      </c>
      <c r="E103" s="11">
        <v>56</v>
      </c>
      <c r="F103" s="11">
        <v>50400</v>
      </c>
      <c r="G103" s="11">
        <v>28556</v>
      </c>
      <c r="H103" s="11">
        <v>3332.1355932203369</v>
      </c>
      <c r="I103" s="11">
        <f t="shared" si="1"/>
        <v>900</v>
      </c>
    </row>
    <row r="104" spans="1:9" x14ac:dyDescent="0.3">
      <c r="A104" s="9" t="s">
        <v>29</v>
      </c>
      <c r="B104" s="9" t="s">
        <v>28</v>
      </c>
      <c r="C104" s="9" t="s">
        <v>13</v>
      </c>
      <c r="D104" s="10" t="s">
        <v>14</v>
      </c>
      <c r="E104" s="11">
        <v>336</v>
      </c>
      <c r="F104" s="11">
        <v>126000</v>
      </c>
      <c r="G104" s="11">
        <v>89316</v>
      </c>
      <c r="H104" s="11">
        <v>1746.8571428571449</v>
      </c>
      <c r="I104" s="11">
        <f t="shared" si="1"/>
        <v>375</v>
      </c>
    </row>
    <row r="105" spans="1:9" x14ac:dyDescent="0.3">
      <c r="A105" s="11" t="s">
        <v>29</v>
      </c>
      <c r="B105" s="11" t="s">
        <v>28</v>
      </c>
      <c r="C105" s="11" t="s">
        <v>15</v>
      </c>
      <c r="D105" s="12" t="s">
        <v>14</v>
      </c>
      <c r="E105" s="11">
        <v>12</v>
      </c>
      <c r="F105" s="11">
        <v>1980</v>
      </c>
      <c r="G105" s="11">
        <v>948</v>
      </c>
      <c r="H105" s="11">
        <v>49.142857142857224</v>
      </c>
      <c r="I105" s="11">
        <f t="shared" si="1"/>
        <v>165</v>
      </c>
    </row>
    <row r="106" spans="1:9" x14ac:dyDescent="0.3">
      <c r="A106" s="9" t="s">
        <v>29</v>
      </c>
      <c r="B106" s="9" t="s">
        <v>28</v>
      </c>
      <c r="C106" s="9" t="s">
        <v>12</v>
      </c>
      <c r="D106" s="10" t="s">
        <v>11</v>
      </c>
      <c r="E106" s="11">
        <v>116</v>
      </c>
      <c r="F106" s="11">
        <v>69600</v>
      </c>
      <c r="G106" s="11">
        <v>27564</v>
      </c>
      <c r="H106" s="11">
        <v>2001.7142857142899</v>
      </c>
      <c r="I106" s="11">
        <f t="shared" si="1"/>
        <v>600</v>
      </c>
    </row>
    <row r="107" spans="1:9" x14ac:dyDescent="0.3">
      <c r="A107" s="11" t="s">
        <v>29</v>
      </c>
      <c r="B107" s="11" t="s">
        <v>28</v>
      </c>
      <c r="C107" s="11" t="s">
        <v>18</v>
      </c>
      <c r="D107" s="12" t="s">
        <v>17</v>
      </c>
      <c r="E107" s="11">
        <v>8</v>
      </c>
      <c r="F107" s="11">
        <v>4600</v>
      </c>
      <c r="G107" s="11">
        <v>1464</v>
      </c>
      <c r="H107" s="11">
        <v>336.00000000000045</v>
      </c>
      <c r="I107" s="11">
        <f t="shared" si="1"/>
        <v>575</v>
      </c>
    </row>
    <row r="108" spans="1:9" x14ac:dyDescent="0.3">
      <c r="A108" s="9" t="s">
        <v>29</v>
      </c>
      <c r="B108" s="9" t="s">
        <v>28</v>
      </c>
      <c r="C108" s="9" t="s">
        <v>19</v>
      </c>
      <c r="D108" s="10" t="s">
        <v>17</v>
      </c>
      <c r="E108" s="11">
        <v>4</v>
      </c>
      <c r="F108" s="11">
        <v>4600</v>
      </c>
      <c r="G108" s="11">
        <v>1444</v>
      </c>
      <c r="H108" s="11">
        <v>338.14285714285734</v>
      </c>
      <c r="I108" s="11">
        <f t="shared" si="1"/>
        <v>1150</v>
      </c>
    </row>
    <row r="109" spans="1:9" x14ac:dyDescent="0.3">
      <c r="A109" s="11" t="s">
        <v>29</v>
      </c>
      <c r="B109" s="11" t="s">
        <v>28</v>
      </c>
      <c r="C109" s="11" t="s">
        <v>21</v>
      </c>
      <c r="D109" s="12" t="s">
        <v>11</v>
      </c>
      <c r="E109" s="11">
        <v>108</v>
      </c>
      <c r="F109" s="11">
        <v>129600</v>
      </c>
      <c r="G109" s="11">
        <v>58200</v>
      </c>
      <c r="H109" s="11">
        <v>3400</v>
      </c>
      <c r="I109" s="11">
        <f t="shared" si="1"/>
        <v>1200</v>
      </c>
    </row>
    <row r="110" spans="1:9" x14ac:dyDescent="0.3">
      <c r="A110" s="9" t="s">
        <v>29</v>
      </c>
      <c r="B110" s="9" t="s">
        <v>28</v>
      </c>
      <c r="C110" s="9" t="s">
        <v>20</v>
      </c>
      <c r="D110" s="10" t="s">
        <v>14</v>
      </c>
      <c r="E110" s="11">
        <v>4</v>
      </c>
      <c r="F110" s="11">
        <v>3000</v>
      </c>
      <c r="G110" s="11">
        <v>1184</v>
      </c>
      <c r="H110" s="11">
        <v>86.476190476190595</v>
      </c>
      <c r="I110" s="11">
        <f t="shared" si="1"/>
        <v>750</v>
      </c>
    </row>
    <row r="111" spans="1:9" x14ac:dyDescent="0.3">
      <c r="A111" s="11" t="s">
        <v>29</v>
      </c>
      <c r="B111" s="11" t="s">
        <v>28</v>
      </c>
      <c r="C111" s="11" t="s">
        <v>22</v>
      </c>
      <c r="D111" s="12" t="s">
        <v>23</v>
      </c>
      <c r="E111" s="11">
        <v>12</v>
      </c>
      <c r="F111" s="11">
        <v>2388</v>
      </c>
      <c r="G111" s="11">
        <v>1188</v>
      </c>
      <c r="H111" s="11">
        <v>57.14285714285711</v>
      </c>
      <c r="I111" s="11">
        <f t="shared" si="1"/>
        <v>199</v>
      </c>
    </row>
    <row r="112" spans="1:9" x14ac:dyDescent="0.3">
      <c r="A112" s="9" t="s">
        <v>29</v>
      </c>
      <c r="B112" s="9" t="s">
        <v>28</v>
      </c>
      <c r="C112" s="9" t="s">
        <v>24</v>
      </c>
      <c r="D112" s="10" t="s">
        <v>23</v>
      </c>
      <c r="E112" s="11">
        <v>44</v>
      </c>
      <c r="F112" s="11">
        <v>19800</v>
      </c>
      <c r="G112" s="11">
        <v>10052</v>
      </c>
      <c r="H112" s="11">
        <v>464.19047619047706</v>
      </c>
      <c r="I112" s="11">
        <f t="shared" si="1"/>
        <v>450</v>
      </c>
    </row>
    <row r="113" spans="1:9" x14ac:dyDescent="0.3">
      <c r="A113" s="11" t="s">
        <v>29</v>
      </c>
      <c r="B113" s="11" t="s">
        <v>28</v>
      </c>
      <c r="C113" s="11" t="s">
        <v>25</v>
      </c>
      <c r="D113" s="12" t="s">
        <v>23</v>
      </c>
      <c r="E113" s="11">
        <v>36</v>
      </c>
      <c r="F113" s="11">
        <v>32400</v>
      </c>
      <c r="G113" s="11">
        <v>18412</v>
      </c>
      <c r="H113" s="11">
        <v>2133.7627118644068</v>
      </c>
      <c r="I113" s="11">
        <f t="shared" si="1"/>
        <v>900</v>
      </c>
    </row>
    <row r="114" spans="1:9" x14ac:dyDescent="0.3">
      <c r="A114" s="9" t="s">
        <v>29</v>
      </c>
      <c r="B114" s="9" t="s">
        <v>28</v>
      </c>
      <c r="C114" s="9" t="s">
        <v>13</v>
      </c>
      <c r="D114" s="10" t="s">
        <v>14</v>
      </c>
      <c r="E114" s="11">
        <v>308</v>
      </c>
      <c r="F114" s="11">
        <v>115500</v>
      </c>
      <c r="G114" s="11">
        <v>83412</v>
      </c>
      <c r="H114" s="11">
        <v>1528</v>
      </c>
      <c r="I114" s="11">
        <f t="shared" si="1"/>
        <v>375</v>
      </c>
    </row>
    <row r="115" spans="1:9" x14ac:dyDescent="0.3">
      <c r="A115" s="11" t="s">
        <v>29</v>
      </c>
      <c r="B115" s="11" t="s">
        <v>28</v>
      </c>
      <c r="C115" s="11" t="s">
        <v>15</v>
      </c>
      <c r="D115" s="12" t="s">
        <v>14</v>
      </c>
      <c r="E115" s="11">
        <v>36</v>
      </c>
      <c r="F115" s="11">
        <v>5940</v>
      </c>
      <c r="G115" s="11">
        <v>2824</v>
      </c>
      <c r="H115" s="11">
        <v>148.38095238095229</v>
      </c>
      <c r="I115" s="11">
        <f t="shared" si="1"/>
        <v>165</v>
      </c>
    </row>
    <row r="116" spans="1:9" x14ac:dyDescent="0.3">
      <c r="A116" s="9" t="s">
        <v>29</v>
      </c>
      <c r="B116" s="9" t="s">
        <v>28</v>
      </c>
      <c r="C116" s="9" t="s">
        <v>12</v>
      </c>
      <c r="D116" s="10" t="s">
        <v>11</v>
      </c>
      <c r="E116" s="11">
        <v>96</v>
      </c>
      <c r="F116" s="11">
        <v>57600</v>
      </c>
      <c r="G116" s="11">
        <v>22668</v>
      </c>
      <c r="H116" s="11">
        <v>1663.4285714285725</v>
      </c>
      <c r="I116" s="11">
        <f t="shared" si="1"/>
        <v>600</v>
      </c>
    </row>
    <row r="117" spans="1:9" x14ac:dyDescent="0.3">
      <c r="A117" s="11" t="s">
        <v>29</v>
      </c>
      <c r="B117" s="11" t="s">
        <v>28</v>
      </c>
      <c r="C117" s="11" t="s">
        <v>18</v>
      </c>
      <c r="D117" s="12" t="s">
        <v>17</v>
      </c>
      <c r="E117" s="11">
        <v>8</v>
      </c>
      <c r="F117" s="11">
        <v>4600</v>
      </c>
      <c r="G117" s="11">
        <v>1504</v>
      </c>
      <c r="H117" s="11">
        <v>331.71428571428578</v>
      </c>
      <c r="I117" s="11">
        <f t="shared" si="1"/>
        <v>575</v>
      </c>
    </row>
    <row r="118" spans="1:9" x14ac:dyDescent="0.3">
      <c r="A118" s="9" t="s">
        <v>29</v>
      </c>
      <c r="B118" s="9" t="s">
        <v>28</v>
      </c>
      <c r="C118" s="9" t="s">
        <v>19</v>
      </c>
      <c r="D118" s="10" t="s">
        <v>17</v>
      </c>
      <c r="E118" s="11">
        <v>8</v>
      </c>
      <c r="F118" s="11">
        <v>9200</v>
      </c>
      <c r="G118" s="11">
        <v>2848</v>
      </c>
      <c r="H118" s="11">
        <v>680.57142857142935</v>
      </c>
      <c r="I118" s="11">
        <f t="shared" si="1"/>
        <v>1150</v>
      </c>
    </row>
    <row r="119" spans="1:9" x14ac:dyDescent="0.3">
      <c r="A119" s="11" t="s">
        <v>29</v>
      </c>
      <c r="B119" s="11" t="s">
        <v>28</v>
      </c>
      <c r="C119" s="11" t="s">
        <v>21</v>
      </c>
      <c r="D119" s="12" t="s">
        <v>11</v>
      </c>
      <c r="E119" s="11">
        <v>96</v>
      </c>
      <c r="F119" s="11">
        <v>115200</v>
      </c>
      <c r="G119" s="11">
        <v>50328</v>
      </c>
      <c r="H119" s="11">
        <v>3089.1428571428623</v>
      </c>
      <c r="I119" s="11">
        <f t="shared" si="1"/>
        <v>1200</v>
      </c>
    </row>
    <row r="120" spans="1:9" x14ac:dyDescent="0.3">
      <c r="A120" s="9" t="s">
        <v>29</v>
      </c>
      <c r="B120" s="9" t="s">
        <v>28</v>
      </c>
      <c r="C120" s="9" t="s">
        <v>22</v>
      </c>
      <c r="D120" s="10" t="s">
        <v>23</v>
      </c>
      <c r="E120" s="11">
        <v>24</v>
      </c>
      <c r="F120" s="11">
        <v>4776</v>
      </c>
      <c r="G120" s="11">
        <v>2400</v>
      </c>
      <c r="H120" s="11">
        <v>113.14285714285734</v>
      </c>
      <c r="I120" s="11">
        <f t="shared" si="1"/>
        <v>199</v>
      </c>
    </row>
    <row r="121" spans="1:9" x14ac:dyDescent="0.3">
      <c r="A121" s="11" t="s">
        <v>29</v>
      </c>
      <c r="B121" s="11" t="s">
        <v>28</v>
      </c>
      <c r="C121" s="11" t="s">
        <v>24</v>
      </c>
      <c r="D121" s="12" t="s">
        <v>23</v>
      </c>
      <c r="E121" s="11">
        <v>80</v>
      </c>
      <c r="F121" s="11">
        <v>36000</v>
      </c>
      <c r="G121" s="11">
        <v>18336</v>
      </c>
      <c r="H121" s="11">
        <v>841.1428571428587</v>
      </c>
      <c r="I121" s="11">
        <f t="shared" si="1"/>
        <v>450</v>
      </c>
    </row>
    <row r="122" spans="1:9" x14ac:dyDescent="0.3">
      <c r="A122" s="9" t="s">
        <v>29</v>
      </c>
      <c r="B122" s="9" t="s">
        <v>28</v>
      </c>
      <c r="C122" s="9" t="s">
        <v>25</v>
      </c>
      <c r="D122" s="10" t="s">
        <v>23</v>
      </c>
      <c r="E122" s="11">
        <v>32</v>
      </c>
      <c r="F122" s="11">
        <v>28800</v>
      </c>
      <c r="G122" s="11">
        <v>16272</v>
      </c>
      <c r="H122" s="11">
        <v>1911.0508474576272</v>
      </c>
      <c r="I122" s="11">
        <f t="shared" si="1"/>
        <v>900</v>
      </c>
    </row>
    <row r="123" spans="1:9" x14ac:dyDescent="0.3">
      <c r="A123" s="11" t="s">
        <v>29</v>
      </c>
      <c r="B123" s="11" t="s">
        <v>28</v>
      </c>
      <c r="C123" s="11" t="s">
        <v>13</v>
      </c>
      <c r="D123" s="12" t="s">
        <v>14</v>
      </c>
      <c r="E123" s="11">
        <v>396</v>
      </c>
      <c r="F123" s="11">
        <v>148500</v>
      </c>
      <c r="G123" s="11">
        <v>107480</v>
      </c>
      <c r="H123" s="11">
        <v>1953.3333333333358</v>
      </c>
      <c r="I123" s="11">
        <f t="shared" si="1"/>
        <v>375</v>
      </c>
    </row>
    <row r="124" spans="1:9" x14ac:dyDescent="0.3">
      <c r="A124" s="9" t="s">
        <v>29</v>
      </c>
      <c r="B124" s="9" t="s">
        <v>28</v>
      </c>
      <c r="C124" s="9" t="s">
        <v>12</v>
      </c>
      <c r="D124" s="10" t="s">
        <v>11</v>
      </c>
      <c r="E124" s="11">
        <v>36</v>
      </c>
      <c r="F124" s="11">
        <v>21600</v>
      </c>
      <c r="G124" s="11">
        <v>8356</v>
      </c>
      <c r="H124" s="11">
        <v>630.66666666666788</v>
      </c>
      <c r="I124" s="11">
        <f t="shared" si="1"/>
        <v>600</v>
      </c>
    </row>
    <row r="125" spans="1:9" x14ac:dyDescent="0.3">
      <c r="A125" s="11" t="s">
        <v>29</v>
      </c>
      <c r="B125" s="11" t="s">
        <v>28</v>
      </c>
      <c r="C125" s="11" t="s">
        <v>16</v>
      </c>
      <c r="D125" s="12" t="s">
        <v>17</v>
      </c>
      <c r="E125" s="11">
        <v>8</v>
      </c>
      <c r="F125" s="11">
        <v>2392</v>
      </c>
      <c r="G125" s="11">
        <v>192</v>
      </c>
      <c r="H125" s="11">
        <v>235.71428571428601</v>
      </c>
      <c r="I125" s="11">
        <f t="shared" si="1"/>
        <v>299</v>
      </c>
    </row>
    <row r="126" spans="1:9" x14ac:dyDescent="0.3">
      <c r="A126" s="9" t="s">
        <v>29</v>
      </c>
      <c r="B126" s="9" t="s">
        <v>28</v>
      </c>
      <c r="C126" s="9" t="s">
        <v>18</v>
      </c>
      <c r="D126" s="10" t="s">
        <v>17</v>
      </c>
      <c r="E126" s="11">
        <v>4</v>
      </c>
      <c r="F126" s="11">
        <v>2300</v>
      </c>
      <c r="G126" s="11">
        <v>732</v>
      </c>
      <c r="H126" s="11">
        <v>168.00000000000023</v>
      </c>
      <c r="I126" s="11">
        <f t="shared" si="1"/>
        <v>575</v>
      </c>
    </row>
    <row r="127" spans="1:9" x14ac:dyDescent="0.3">
      <c r="A127" s="11" t="s">
        <v>29</v>
      </c>
      <c r="B127" s="11" t="s">
        <v>28</v>
      </c>
      <c r="C127" s="11" t="s">
        <v>19</v>
      </c>
      <c r="D127" s="12" t="s">
        <v>17</v>
      </c>
      <c r="E127" s="11">
        <v>8</v>
      </c>
      <c r="F127" s="11">
        <v>9200</v>
      </c>
      <c r="G127" s="11">
        <v>2996</v>
      </c>
      <c r="H127" s="11">
        <v>664.71428571428623</v>
      </c>
      <c r="I127" s="11">
        <f t="shared" si="1"/>
        <v>1150</v>
      </c>
    </row>
    <row r="128" spans="1:9" x14ac:dyDescent="0.3">
      <c r="A128" s="9" t="s">
        <v>29</v>
      </c>
      <c r="B128" s="9" t="s">
        <v>28</v>
      </c>
      <c r="C128" s="9" t="s">
        <v>21</v>
      </c>
      <c r="D128" s="10" t="s">
        <v>11</v>
      </c>
      <c r="E128" s="11">
        <v>128</v>
      </c>
      <c r="F128" s="11">
        <v>153600</v>
      </c>
      <c r="G128" s="11">
        <v>66316</v>
      </c>
      <c r="H128" s="11">
        <v>4156.3809523809614</v>
      </c>
      <c r="I128" s="11">
        <f t="shared" si="1"/>
        <v>1200</v>
      </c>
    </row>
    <row r="129" spans="1:9" x14ac:dyDescent="0.3">
      <c r="A129" s="11" t="s">
        <v>29</v>
      </c>
      <c r="B129" s="11" t="s">
        <v>28</v>
      </c>
      <c r="C129" s="11" t="s">
        <v>22</v>
      </c>
      <c r="D129" s="12" t="s">
        <v>23</v>
      </c>
      <c r="E129" s="11">
        <v>36</v>
      </c>
      <c r="F129" s="11">
        <v>7164</v>
      </c>
      <c r="G129" s="11">
        <v>3580</v>
      </c>
      <c r="H129" s="11">
        <v>170.66666666666697</v>
      </c>
      <c r="I129" s="11">
        <f t="shared" si="1"/>
        <v>199</v>
      </c>
    </row>
    <row r="130" spans="1:9" x14ac:dyDescent="0.3">
      <c r="A130" s="9" t="s">
        <v>29</v>
      </c>
      <c r="B130" s="9" t="s">
        <v>28</v>
      </c>
      <c r="C130" s="9" t="s">
        <v>24</v>
      </c>
      <c r="D130" s="10" t="s">
        <v>23</v>
      </c>
      <c r="E130" s="11">
        <v>52</v>
      </c>
      <c r="F130" s="11">
        <v>23400</v>
      </c>
      <c r="G130" s="11">
        <v>11856</v>
      </c>
      <c r="H130" s="11">
        <v>549.71428571428623</v>
      </c>
      <c r="I130" s="11">
        <f t="shared" si="1"/>
        <v>450</v>
      </c>
    </row>
    <row r="131" spans="1:9" x14ac:dyDescent="0.3">
      <c r="A131" s="11" t="s">
        <v>29</v>
      </c>
      <c r="B131" s="11" t="s">
        <v>28</v>
      </c>
      <c r="C131" s="11" t="s">
        <v>25</v>
      </c>
      <c r="D131" s="12" t="s">
        <v>23</v>
      </c>
      <c r="E131" s="11">
        <v>28</v>
      </c>
      <c r="F131" s="11">
        <v>25200</v>
      </c>
      <c r="G131" s="11">
        <v>14136</v>
      </c>
      <c r="H131" s="11">
        <v>1687.7288135593208</v>
      </c>
      <c r="I131" s="11">
        <f t="shared" ref="I131:I194" si="2">IFERROR((F131/E131),0)</f>
        <v>900</v>
      </c>
    </row>
    <row r="132" spans="1:9" x14ac:dyDescent="0.3">
      <c r="A132" s="9" t="s">
        <v>29</v>
      </c>
      <c r="B132" s="9" t="s">
        <v>28</v>
      </c>
      <c r="C132" s="9" t="s">
        <v>13</v>
      </c>
      <c r="D132" s="10" t="s">
        <v>14</v>
      </c>
      <c r="E132" s="11">
        <v>340</v>
      </c>
      <c r="F132" s="11">
        <v>127500</v>
      </c>
      <c r="G132" s="11">
        <v>91532</v>
      </c>
      <c r="H132" s="11">
        <v>1712.7619047619082</v>
      </c>
      <c r="I132" s="11">
        <f t="shared" si="2"/>
        <v>375</v>
      </c>
    </row>
    <row r="133" spans="1:9" x14ac:dyDescent="0.3">
      <c r="A133" s="11" t="s">
        <v>29</v>
      </c>
      <c r="B133" s="11" t="s">
        <v>28</v>
      </c>
      <c r="C133" s="11" t="s">
        <v>12</v>
      </c>
      <c r="D133" s="12" t="s">
        <v>11</v>
      </c>
      <c r="E133" s="11">
        <v>52</v>
      </c>
      <c r="F133" s="11">
        <v>31200</v>
      </c>
      <c r="G133" s="11">
        <v>12212</v>
      </c>
      <c r="H133" s="11">
        <v>904.19047619047706</v>
      </c>
      <c r="I133" s="11">
        <f t="shared" si="2"/>
        <v>600</v>
      </c>
    </row>
    <row r="134" spans="1:9" x14ac:dyDescent="0.3">
      <c r="A134" s="9" t="s">
        <v>29</v>
      </c>
      <c r="B134" s="9" t="s">
        <v>28</v>
      </c>
      <c r="C134" s="9" t="s">
        <v>18</v>
      </c>
      <c r="D134" s="10" t="s">
        <v>17</v>
      </c>
      <c r="E134" s="11">
        <v>20</v>
      </c>
      <c r="F134" s="11">
        <v>11500</v>
      </c>
      <c r="G134" s="11">
        <v>3976</v>
      </c>
      <c r="H134" s="11">
        <v>806.14285714285779</v>
      </c>
      <c r="I134" s="11">
        <f t="shared" si="2"/>
        <v>575</v>
      </c>
    </row>
    <row r="135" spans="1:9" x14ac:dyDescent="0.3">
      <c r="A135" s="11" t="s">
        <v>29</v>
      </c>
      <c r="B135" s="11" t="s">
        <v>28</v>
      </c>
      <c r="C135" s="11" t="s">
        <v>19</v>
      </c>
      <c r="D135" s="12" t="s">
        <v>17</v>
      </c>
      <c r="E135" s="11">
        <v>8</v>
      </c>
      <c r="F135" s="11">
        <v>9200</v>
      </c>
      <c r="G135" s="11">
        <v>2772</v>
      </c>
      <c r="H135" s="11">
        <v>688.71428571428623</v>
      </c>
      <c r="I135" s="11">
        <f t="shared" si="2"/>
        <v>1150</v>
      </c>
    </row>
    <row r="136" spans="1:9" x14ac:dyDescent="0.3">
      <c r="A136" s="9" t="s">
        <v>29</v>
      </c>
      <c r="B136" s="9" t="s">
        <v>28</v>
      </c>
      <c r="C136" s="9" t="s">
        <v>21</v>
      </c>
      <c r="D136" s="10" t="s">
        <v>11</v>
      </c>
      <c r="E136" s="11">
        <v>160</v>
      </c>
      <c r="F136" s="11">
        <v>192000</v>
      </c>
      <c r="G136" s="11">
        <v>88680</v>
      </c>
      <c r="H136" s="11">
        <v>4920</v>
      </c>
      <c r="I136" s="11">
        <f t="shared" si="2"/>
        <v>1200</v>
      </c>
    </row>
    <row r="137" spans="1:9" x14ac:dyDescent="0.3">
      <c r="A137" s="11" t="s">
        <v>29</v>
      </c>
      <c r="B137" s="11" t="s">
        <v>28</v>
      </c>
      <c r="C137" s="11" t="s">
        <v>22</v>
      </c>
      <c r="D137" s="12" t="s">
        <v>23</v>
      </c>
      <c r="E137" s="11">
        <v>12</v>
      </c>
      <c r="F137" s="11">
        <v>2388</v>
      </c>
      <c r="G137" s="11">
        <v>1200</v>
      </c>
      <c r="H137" s="11">
        <v>56.571428571428669</v>
      </c>
      <c r="I137" s="11">
        <f t="shared" si="2"/>
        <v>199</v>
      </c>
    </row>
    <row r="138" spans="1:9" x14ac:dyDescent="0.3">
      <c r="A138" s="9" t="s">
        <v>29</v>
      </c>
      <c r="B138" s="9" t="s">
        <v>28</v>
      </c>
      <c r="C138" s="9" t="s">
        <v>24</v>
      </c>
      <c r="D138" s="10" t="s">
        <v>23</v>
      </c>
      <c r="E138" s="11">
        <v>56</v>
      </c>
      <c r="F138" s="11">
        <v>25200</v>
      </c>
      <c r="G138" s="11">
        <v>12820</v>
      </c>
      <c r="H138" s="11">
        <v>589.52380952380918</v>
      </c>
      <c r="I138" s="11">
        <f t="shared" si="2"/>
        <v>450</v>
      </c>
    </row>
    <row r="139" spans="1:9" x14ac:dyDescent="0.3">
      <c r="A139" s="11" t="s">
        <v>29</v>
      </c>
      <c r="B139" s="11" t="s">
        <v>28</v>
      </c>
      <c r="C139" s="11" t="s">
        <v>25</v>
      </c>
      <c r="D139" s="12" t="s">
        <v>23</v>
      </c>
      <c r="E139" s="11">
        <v>36</v>
      </c>
      <c r="F139" s="11">
        <v>32400</v>
      </c>
      <c r="G139" s="11">
        <v>18392</v>
      </c>
      <c r="H139" s="11">
        <v>2136.8135593220341</v>
      </c>
      <c r="I139" s="11">
        <f t="shared" si="2"/>
        <v>900</v>
      </c>
    </row>
    <row r="140" spans="1:9" x14ac:dyDescent="0.3">
      <c r="A140" s="9" t="s">
        <v>29</v>
      </c>
      <c r="B140" s="9" t="s">
        <v>28</v>
      </c>
      <c r="C140" s="9" t="s">
        <v>13</v>
      </c>
      <c r="D140" s="10" t="s">
        <v>14</v>
      </c>
      <c r="E140" s="11">
        <v>384</v>
      </c>
      <c r="F140" s="11">
        <v>144000</v>
      </c>
      <c r="G140" s="11">
        <v>103976</v>
      </c>
      <c r="H140" s="11">
        <v>1905.9047619047633</v>
      </c>
      <c r="I140" s="11">
        <f t="shared" si="2"/>
        <v>375</v>
      </c>
    </row>
    <row r="141" spans="1:9" x14ac:dyDescent="0.3">
      <c r="A141" s="11" t="s">
        <v>29</v>
      </c>
      <c r="B141" s="11" t="s">
        <v>28</v>
      </c>
      <c r="C141" s="11" t="s">
        <v>12</v>
      </c>
      <c r="D141" s="12" t="s">
        <v>11</v>
      </c>
      <c r="E141" s="11">
        <v>60</v>
      </c>
      <c r="F141" s="11">
        <v>36000</v>
      </c>
      <c r="G141" s="11">
        <v>14200</v>
      </c>
      <c r="H141" s="11">
        <v>1038.0952380952403</v>
      </c>
      <c r="I141" s="11">
        <f t="shared" si="2"/>
        <v>600</v>
      </c>
    </row>
    <row r="142" spans="1:9" x14ac:dyDescent="0.3">
      <c r="A142" s="9" t="s">
        <v>29</v>
      </c>
      <c r="B142" s="9" t="s">
        <v>28</v>
      </c>
      <c r="C142" s="9" t="s">
        <v>18</v>
      </c>
      <c r="D142" s="10" t="s">
        <v>17</v>
      </c>
      <c r="E142" s="11">
        <v>4</v>
      </c>
      <c r="F142" s="11">
        <v>2300</v>
      </c>
      <c r="G142" s="11">
        <v>712</v>
      </c>
      <c r="H142" s="11">
        <v>170.14285714285734</v>
      </c>
      <c r="I142" s="11">
        <f t="shared" si="2"/>
        <v>575</v>
      </c>
    </row>
    <row r="143" spans="1:9" x14ac:dyDescent="0.3">
      <c r="A143" s="11" t="s">
        <v>29</v>
      </c>
      <c r="B143" s="11" t="s">
        <v>28</v>
      </c>
      <c r="C143" s="11" t="s">
        <v>21</v>
      </c>
      <c r="D143" s="12" t="s">
        <v>11</v>
      </c>
      <c r="E143" s="11">
        <v>124</v>
      </c>
      <c r="F143" s="11">
        <v>148800</v>
      </c>
      <c r="G143" s="11">
        <v>65452</v>
      </c>
      <c r="H143" s="11">
        <v>3968.9523809523816</v>
      </c>
      <c r="I143" s="11">
        <f t="shared" si="2"/>
        <v>1200</v>
      </c>
    </row>
    <row r="144" spans="1:9" x14ac:dyDescent="0.3">
      <c r="A144" s="9" t="s">
        <v>29</v>
      </c>
      <c r="B144" s="9" t="s">
        <v>28</v>
      </c>
      <c r="C144" s="9" t="s">
        <v>20</v>
      </c>
      <c r="D144" s="10" t="s">
        <v>14</v>
      </c>
      <c r="E144" s="11">
        <v>4</v>
      </c>
      <c r="F144" s="11">
        <v>3000</v>
      </c>
      <c r="G144" s="11">
        <v>1244</v>
      </c>
      <c r="H144" s="11">
        <v>83.619047619047706</v>
      </c>
      <c r="I144" s="11">
        <f t="shared" si="2"/>
        <v>750</v>
      </c>
    </row>
    <row r="145" spans="1:9" x14ac:dyDescent="0.3">
      <c r="A145" s="11" t="s">
        <v>29</v>
      </c>
      <c r="B145" s="11" t="s">
        <v>28</v>
      </c>
      <c r="C145" s="11" t="s">
        <v>22</v>
      </c>
      <c r="D145" s="12" t="s">
        <v>23</v>
      </c>
      <c r="E145" s="11">
        <v>24</v>
      </c>
      <c r="F145" s="11">
        <v>4776</v>
      </c>
      <c r="G145" s="11">
        <v>2380</v>
      </c>
      <c r="H145" s="11">
        <v>114.09523809523807</v>
      </c>
      <c r="I145" s="11">
        <f t="shared" si="2"/>
        <v>199</v>
      </c>
    </row>
    <row r="146" spans="1:9" x14ac:dyDescent="0.3">
      <c r="A146" s="9" t="s">
        <v>29</v>
      </c>
      <c r="B146" s="9" t="s">
        <v>28</v>
      </c>
      <c r="C146" s="9" t="s">
        <v>24</v>
      </c>
      <c r="D146" s="10" t="s">
        <v>23</v>
      </c>
      <c r="E146" s="11">
        <v>56</v>
      </c>
      <c r="F146" s="11">
        <v>25200</v>
      </c>
      <c r="G146" s="11">
        <v>12888</v>
      </c>
      <c r="H146" s="11">
        <v>586.28571428571558</v>
      </c>
      <c r="I146" s="11">
        <f t="shared" si="2"/>
        <v>450</v>
      </c>
    </row>
    <row r="147" spans="1:9" x14ac:dyDescent="0.3">
      <c r="A147" s="11" t="s">
        <v>29</v>
      </c>
      <c r="B147" s="11" t="s">
        <v>28</v>
      </c>
      <c r="C147" s="11" t="s">
        <v>25</v>
      </c>
      <c r="D147" s="12" t="s">
        <v>23</v>
      </c>
      <c r="E147" s="11">
        <v>40</v>
      </c>
      <c r="F147" s="11">
        <v>36000</v>
      </c>
      <c r="G147" s="11">
        <v>20440</v>
      </c>
      <c r="H147" s="11">
        <v>2373.5593220338978</v>
      </c>
      <c r="I147" s="11">
        <f t="shared" si="2"/>
        <v>900</v>
      </c>
    </row>
    <row r="148" spans="1:9" x14ac:dyDescent="0.3">
      <c r="A148" s="9" t="s">
        <v>29</v>
      </c>
      <c r="B148" s="9" t="s">
        <v>28</v>
      </c>
      <c r="C148" s="9" t="s">
        <v>13</v>
      </c>
      <c r="D148" s="10" t="s">
        <v>14</v>
      </c>
      <c r="E148" s="11">
        <v>296</v>
      </c>
      <c r="F148" s="11">
        <v>111000</v>
      </c>
      <c r="G148" s="11">
        <v>81324</v>
      </c>
      <c r="H148" s="11">
        <v>1413.1428571428587</v>
      </c>
      <c r="I148" s="11">
        <f t="shared" si="2"/>
        <v>375</v>
      </c>
    </row>
    <row r="149" spans="1:9" x14ac:dyDescent="0.3">
      <c r="A149" s="11" t="s">
        <v>29</v>
      </c>
      <c r="B149" s="11" t="s">
        <v>28</v>
      </c>
      <c r="C149" s="11" t="s">
        <v>12</v>
      </c>
      <c r="D149" s="12" t="s">
        <v>11</v>
      </c>
      <c r="E149" s="11">
        <v>124</v>
      </c>
      <c r="F149" s="11">
        <v>74400</v>
      </c>
      <c r="G149" s="11">
        <v>32820</v>
      </c>
      <c r="H149" s="11">
        <v>1980</v>
      </c>
      <c r="I149" s="11">
        <f t="shared" si="2"/>
        <v>600</v>
      </c>
    </row>
    <row r="150" spans="1:9" x14ac:dyDescent="0.3">
      <c r="A150" s="9" t="s">
        <v>29</v>
      </c>
      <c r="B150" s="9" t="s">
        <v>28</v>
      </c>
      <c r="C150" s="9" t="s">
        <v>18</v>
      </c>
      <c r="D150" s="10" t="s">
        <v>17</v>
      </c>
      <c r="E150" s="11">
        <v>32</v>
      </c>
      <c r="F150" s="11">
        <v>18400</v>
      </c>
      <c r="G150" s="11">
        <v>6776</v>
      </c>
      <c r="H150" s="11">
        <v>1245.4285714285725</v>
      </c>
      <c r="I150" s="11">
        <f t="shared" si="2"/>
        <v>575</v>
      </c>
    </row>
    <row r="151" spans="1:9" x14ac:dyDescent="0.3">
      <c r="A151" s="11" t="s">
        <v>29</v>
      </c>
      <c r="B151" s="11" t="s">
        <v>28</v>
      </c>
      <c r="C151" s="11" t="s">
        <v>19</v>
      </c>
      <c r="D151" s="12" t="s">
        <v>17</v>
      </c>
      <c r="E151" s="11">
        <v>4</v>
      </c>
      <c r="F151" s="11">
        <v>4600</v>
      </c>
      <c r="G151" s="11">
        <v>1444</v>
      </c>
      <c r="H151" s="11">
        <v>338.14285714285734</v>
      </c>
      <c r="I151" s="11">
        <f t="shared" si="2"/>
        <v>1150</v>
      </c>
    </row>
    <row r="152" spans="1:9" x14ac:dyDescent="0.3">
      <c r="A152" s="9" t="s">
        <v>29</v>
      </c>
      <c r="B152" s="9" t="s">
        <v>28</v>
      </c>
      <c r="C152" s="9" t="s">
        <v>21</v>
      </c>
      <c r="D152" s="10" t="s">
        <v>11</v>
      </c>
      <c r="E152" s="11">
        <v>32</v>
      </c>
      <c r="F152" s="11">
        <v>38400</v>
      </c>
      <c r="G152" s="11">
        <v>15584</v>
      </c>
      <c r="H152" s="11">
        <v>1086.4761904761908</v>
      </c>
      <c r="I152" s="11">
        <f t="shared" si="2"/>
        <v>1200</v>
      </c>
    </row>
    <row r="153" spans="1:9" x14ac:dyDescent="0.3">
      <c r="A153" s="11" t="s">
        <v>29</v>
      </c>
      <c r="B153" s="11" t="s">
        <v>28</v>
      </c>
      <c r="C153" s="11" t="s">
        <v>22</v>
      </c>
      <c r="D153" s="12" t="s">
        <v>23</v>
      </c>
      <c r="E153" s="11">
        <v>12</v>
      </c>
      <c r="F153" s="11">
        <v>2388</v>
      </c>
      <c r="G153" s="11">
        <v>1180</v>
      </c>
      <c r="H153" s="11">
        <v>57.523809523809632</v>
      </c>
      <c r="I153" s="11">
        <f t="shared" si="2"/>
        <v>199</v>
      </c>
    </row>
    <row r="154" spans="1:9" x14ac:dyDescent="0.3">
      <c r="A154" s="9" t="s">
        <v>29</v>
      </c>
      <c r="B154" s="9" t="s">
        <v>28</v>
      </c>
      <c r="C154" s="9" t="s">
        <v>24</v>
      </c>
      <c r="D154" s="10" t="s">
        <v>23</v>
      </c>
      <c r="E154" s="11">
        <v>32</v>
      </c>
      <c r="F154" s="11">
        <v>14400</v>
      </c>
      <c r="G154" s="11">
        <v>7480</v>
      </c>
      <c r="H154" s="11">
        <v>329.52380952381009</v>
      </c>
      <c r="I154" s="11">
        <f t="shared" si="2"/>
        <v>450</v>
      </c>
    </row>
    <row r="155" spans="1:9" x14ac:dyDescent="0.3">
      <c r="A155" s="11" t="s">
        <v>29</v>
      </c>
      <c r="B155" s="11" t="s">
        <v>28</v>
      </c>
      <c r="C155" s="11" t="s">
        <v>25</v>
      </c>
      <c r="D155" s="12" t="s">
        <v>23</v>
      </c>
      <c r="E155" s="11">
        <v>24</v>
      </c>
      <c r="F155" s="11">
        <v>21600</v>
      </c>
      <c r="G155" s="11">
        <v>12196</v>
      </c>
      <c r="H155" s="11">
        <v>1434.5084745762706</v>
      </c>
      <c r="I155" s="11">
        <f t="shared" si="2"/>
        <v>900</v>
      </c>
    </row>
    <row r="156" spans="1:9" x14ac:dyDescent="0.3">
      <c r="A156" s="9" t="s">
        <v>29</v>
      </c>
      <c r="B156" s="9" t="s">
        <v>28</v>
      </c>
      <c r="C156" s="9" t="s">
        <v>13</v>
      </c>
      <c r="D156" s="10" t="s">
        <v>14</v>
      </c>
      <c r="E156" s="11">
        <v>208</v>
      </c>
      <c r="F156" s="11">
        <v>78000</v>
      </c>
      <c r="G156" s="11">
        <v>56908</v>
      </c>
      <c r="H156" s="11">
        <v>1004.3809523809541</v>
      </c>
      <c r="I156" s="11">
        <f t="shared" si="2"/>
        <v>375</v>
      </c>
    </row>
    <row r="157" spans="1:9" x14ac:dyDescent="0.3">
      <c r="A157" s="11" t="s">
        <v>29</v>
      </c>
      <c r="B157" s="11" t="s">
        <v>28</v>
      </c>
      <c r="C157" s="11" t="s">
        <v>12</v>
      </c>
      <c r="D157" s="12" t="s">
        <v>11</v>
      </c>
      <c r="E157" s="11">
        <v>32</v>
      </c>
      <c r="F157" s="11">
        <v>19200</v>
      </c>
      <c r="G157" s="11">
        <v>7392</v>
      </c>
      <c r="H157" s="11">
        <v>562.28571428571558</v>
      </c>
      <c r="I157" s="11">
        <f t="shared" si="2"/>
        <v>600</v>
      </c>
    </row>
    <row r="158" spans="1:9" x14ac:dyDescent="0.3">
      <c r="A158" s="9" t="s">
        <v>29</v>
      </c>
      <c r="B158" s="9" t="s">
        <v>28</v>
      </c>
      <c r="C158" s="9" t="s">
        <v>10</v>
      </c>
      <c r="D158" s="10" t="s">
        <v>11</v>
      </c>
      <c r="E158" s="11">
        <v>4</v>
      </c>
      <c r="F158" s="11">
        <v>1340</v>
      </c>
      <c r="G158" s="11">
        <v>124</v>
      </c>
      <c r="H158" s="11">
        <v>57.904761904761926</v>
      </c>
      <c r="I158" s="11">
        <f t="shared" si="2"/>
        <v>335</v>
      </c>
    </row>
    <row r="159" spans="1:9" x14ac:dyDescent="0.3">
      <c r="A159" s="11" t="s">
        <v>29</v>
      </c>
      <c r="B159" s="11" t="s">
        <v>28</v>
      </c>
      <c r="C159" s="11" t="s">
        <v>18</v>
      </c>
      <c r="D159" s="12" t="s">
        <v>17</v>
      </c>
      <c r="E159" s="11">
        <v>20</v>
      </c>
      <c r="F159" s="11">
        <v>11500</v>
      </c>
      <c r="G159" s="11">
        <v>3964</v>
      </c>
      <c r="H159" s="11">
        <v>807.42857142857247</v>
      </c>
      <c r="I159" s="11">
        <f t="shared" si="2"/>
        <v>575</v>
      </c>
    </row>
    <row r="160" spans="1:9" x14ac:dyDescent="0.3">
      <c r="A160" s="9" t="s">
        <v>29</v>
      </c>
      <c r="B160" s="9" t="s">
        <v>28</v>
      </c>
      <c r="C160" s="9" t="s">
        <v>20</v>
      </c>
      <c r="D160" s="10" t="s">
        <v>14</v>
      </c>
      <c r="E160" s="11">
        <v>4</v>
      </c>
      <c r="F160" s="11">
        <v>3000</v>
      </c>
      <c r="G160" s="11">
        <v>1536</v>
      </c>
      <c r="H160" s="11">
        <v>69.714285714285779</v>
      </c>
      <c r="I160" s="11">
        <f t="shared" si="2"/>
        <v>750</v>
      </c>
    </row>
    <row r="161" spans="1:9" x14ac:dyDescent="0.3">
      <c r="A161" s="11" t="s">
        <v>29</v>
      </c>
      <c r="B161" s="11" t="s">
        <v>28</v>
      </c>
      <c r="C161" s="11" t="s">
        <v>22</v>
      </c>
      <c r="D161" s="12" t="s">
        <v>23</v>
      </c>
      <c r="E161" s="11">
        <v>24</v>
      </c>
      <c r="F161" s="11">
        <v>4776</v>
      </c>
      <c r="G161" s="11">
        <v>2380</v>
      </c>
      <c r="H161" s="11">
        <v>114.09523809523807</v>
      </c>
      <c r="I161" s="11">
        <f t="shared" si="2"/>
        <v>199</v>
      </c>
    </row>
    <row r="162" spans="1:9" x14ac:dyDescent="0.3">
      <c r="A162" s="9" t="s">
        <v>29</v>
      </c>
      <c r="B162" s="9" t="s">
        <v>28</v>
      </c>
      <c r="C162" s="9" t="s">
        <v>24</v>
      </c>
      <c r="D162" s="10" t="s">
        <v>23</v>
      </c>
      <c r="E162" s="11">
        <v>48</v>
      </c>
      <c r="F162" s="11">
        <v>21600</v>
      </c>
      <c r="G162" s="11">
        <v>10888</v>
      </c>
      <c r="H162" s="11">
        <v>510.09523809523853</v>
      </c>
      <c r="I162" s="11">
        <f t="shared" si="2"/>
        <v>450</v>
      </c>
    </row>
    <row r="163" spans="1:9" x14ac:dyDescent="0.3">
      <c r="A163" s="11" t="s">
        <v>29</v>
      </c>
      <c r="B163" s="11" t="s">
        <v>28</v>
      </c>
      <c r="C163" s="11" t="s">
        <v>25</v>
      </c>
      <c r="D163" s="12" t="s">
        <v>23</v>
      </c>
      <c r="E163" s="11">
        <v>20</v>
      </c>
      <c r="F163" s="11">
        <v>18000</v>
      </c>
      <c r="G163" s="11">
        <v>10120</v>
      </c>
      <c r="H163" s="11">
        <v>1202.0338983050842</v>
      </c>
      <c r="I163" s="11">
        <f t="shared" si="2"/>
        <v>900</v>
      </c>
    </row>
    <row r="164" spans="1:9" x14ac:dyDescent="0.3">
      <c r="A164" s="9" t="s">
        <v>29</v>
      </c>
      <c r="B164" s="9" t="s">
        <v>28</v>
      </c>
      <c r="C164" s="9" t="s">
        <v>13</v>
      </c>
      <c r="D164" s="10" t="s">
        <v>14</v>
      </c>
      <c r="E164" s="11">
        <v>276</v>
      </c>
      <c r="F164" s="11">
        <v>103500</v>
      </c>
      <c r="G164" s="11">
        <v>75324</v>
      </c>
      <c r="H164" s="11">
        <v>1341.7142857142862</v>
      </c>
      <c r="I164" s="11">
        <f t="shared" si="2"/>
        <v>375</v>
      </c>
    </row>
    <row r="165" spans="1:9" x14ac:dyDescent="0.3">
      <c r="A165" s="11" t="s">
        <v>29</v>
      </c>
      <c r="B165" s="11" t="s">
        <v>28</v>
      </c>
      <c r="C165" s="11" t="s">
        <v>15</v>
      </c>
      <c r="D165" s="12" t="s">
        <v>14</v>
      </c>
      <c r="E165" s="11">
        <v>12</v>
      </c>
      <c r="F165" s="11">
        <v>1980</v>
      </c>
      <c r="G165" s="11">
        <v>948</v>
      </c>
      <c r="H165" s="11">
        <v>49.142857142857224</v>
      </c>
      <c r="I165" s="11">
        <f t="shared" si="2"/>
        <v>165</v>
      </c>
    </row>
    <row r="166" spans="1:9" x14ac:dyDescent="0.3">
      <c r="A166" s="9" t="s">
        <v>29</v>
      </c>
      <c r="B166" s="9" t="s">
        <v>28</v>
      </c>
      <c r="C166" s="9" t="s">
        <v>12</v>
      </c>
      <c r="D166" s="10" t="s">
        <v>11</v>
      </c>
      <c r="E166" s="11">
        <v>24</v>
      </c>
      <c r="F166" s="11">
        <v>14400</v>
      </c>
      <c r="G166" s="11">
        <v>5084</v>
      </c>
      <c r="H166" s="11">
        <v>443.61904761904771</v>
      </c>
      <c r="I166" s="11">
        <f t="shared" si="2"/>
        <v>600</v>
      </c>
    </row>
    <row r="167" spans="1:9" x14ac:dyDescent="0.3">
      <c r="A167" s="11" t="s">
        <v>29</v>
      </c>
      <c r="B167" s="11" t="s">
        <v>28</v>
      </c>
      <c r="C167" s="11" t="s">
        <v>18</v>
      </c>
      <c r="D167" s="12" t="s">
        <v>17</v>
      </c>
      <c r="E167" s="11">
        <v>16</v>
      </c>
      <c r="F167" s="11">
        <v>9200</v>
      </c>
      <c r="G167" s="11">
        <v>2956</v>
      </c>
      <c r="H167" s="11">
        <v>669.00000000000091</v>
      </c>
      <c r="I167" s="11">
        <f t="shared" si="2"/>
        <v>575</v>
      </c>
    </row>
    <row r="168" spans="1:9" x14ac:dyDescent="0.3">
      <c r="A168" s="9" t="s">
        <v>29</v>
      </c>
      <c r="B168" s="9" t="s">
        <v>28</v>
      </c>
      <c r="C168" s="9" t="s">
        <v>22</v>
      </c>
      <c r="D168" s="10" t="s">
        <v>23</v>
      </c>
      <c r="E168" s="11">
        <v>12</v>
      </c>
      <c r="F168" s="11">
        <v>2388</v>
      </c>
      <c r="G168" s="11">
        <v>1200</v>
      </c>
      <c r="H168" s="11">
        <v>56.571428571428669</v>
      </c>
      <c r="I168" s="11">
        <f t="shared" si="2"/>
        <v>199</v>
      </c>
    </row>
    <row r="169" spans="1:9" x14ac:dyDescent="0.3">
      <c r="A169" s="11" t="s">
        <v>29</v>
      </c>
      <c r="B169" s="11" t="s">
        <v>28</v>
      </c>
      <c r="C169" s="11" t="s">
        <v>24</v>
      </c>
      <c r="D169" s="12" t="s">
        <v>23</v>
      </c>
      <c r="E169" s="11">
        <v>24</v>
      </c>
      <c r="F169" s="11">
        <v>10800</v>
      </c>
      <c r="G169" s="11">
        <v>5456</v>
      </c>
      <c r="H169" s="11">
        <v>254.47619047619082</v>
      </c>
      <c r="I169" s="11">
        <f t="shared" si="2"/>
        <v>450</v>
      </c>
    </row>
    <row r="170" spans="1:9" x14ac:dyDescent="0.3">
      <c r="A170" s="9" t="s">
        <v>29</v>
      </c>
      <c r="B170" s="9" t="s">
        <v>28</v>
      </c>
      <c r="C170" s="9" t="s">
        <v>25</v>
      </c>
      <c r="D170" s="10" t="s">
        <v>23</v>
      </c>
      <c r="E170" s="11">
        <v>8</v>
      </c>
      <c r="F170" s="11">
        <v>7200</v>
      </c>
      <c r="G170" s="11">
        <v>4008</v>
      </c>
      <c r="H170" s="11">
        <v>486.91525423728808</v>
      </c>
      <c r="I170" s="11">
        <f t="shared" si="2"/>
        <v>900</v>
      </c>
    </row>
    <row r="171" spans="1:9" x14ac:dyDescent="0.3">
      <c r="A171" s="11" t="s">
        <v>29</v>
      </c>
      <c r="B171" s="11" t="s">
        <v>28</v>
      </c>
      <c r="C171" s="11" t="s">
        <v>13</v>
      </c>
      <c r="D171" s="12" t="s">
        <v>14</v>
      </c>
      <c r="E171" s="11">
        <v>516</v>
      </c>
      <c r="F171" s="11">
        <v>193500</v>
      </c>
      <c r="G171" s="11">
        <v>140488</v>
      </c>
      <c r="H171" s="11">
        <v>2524.3809523809541</v>
      </c>
      <c r="I171" s="11">
        <f t="shared" si="2"/>
        <v>375</v>
      </c>
    </row>
    <row r="172" spans="1:9" x14ac:dyDescent="0.3">
      <c r="A172" s="9" t="s">
        <v>29</v>
      </c>
      <c r="B172" s="9" t="s">
        <v>28</v>
      </c>
      <c r="C172" s="9" t="s">
        <v>12</v>
      </c>
      <c r="D172" s="10" t="s">
        <v>11</v>
      </c>
      <c r="E172" s="11">
        <v>16</v>
      </c>
      <c r="F172" s="11">
        <v>9600</v>
      </c>
      <c r="G172" s="11">
        <v>3036</v>
      </c>
      <c r="H172" s="11">
        <v>312.57142857142844</v>
      </c>
      <c r="I172" s="11">
        <f t="shared" si="2"/>
        <v>600</v>
      </c>
    </row>
    <row r="173" spans="1:9" x14ac:dyDescent="0.3">
      <c r="A173" s="11" t="s">
        <v>29</v>
      </c>
      <c r="B173" s="11" t="s">
        <v>28</v>
      </c>
      <c r="C173" s="11" t="s">
        <v>20</v>
      </c>
      <c r="D173" s="12" t="s">
        <v>14</v>
      </c>
      <c r="E173" s="11">
        <v>4</v>
      </c>
      <c r="F173" s="11">
        <v>3000</v>
      </c>
      <c r="G173" s="11">
        <v>1204</v>
      </c>
      <c r="H173" s="11">
        <v>85.523809523809632</v>
      </c>
      <c r="I173" s="11">
        <f t="shared" si="2"/>
        <v>750</v>
      </c>
    </row>
    <row r="174" spans="1:9" x14ac:dyDescent="0.3">
      <c r="A174" s="9" t="s">
        <v>29</v>
      </c>
      <c r="B174" s="9" t="s">
        <v>28</v>
      </c>
      <c r="C174" s="9" t="s">
        <v>22</v>
      </c>
      <c r="D174" s="10" t="s">
        <v>23</v>
      </c>
      <c r="E174" s="11">
        <v>24</v>
      </c>
      <c r="F174" s="11">
        <v>4776</v>
      </c>
      <c r="G174" s="11">
        <v>2360</v>
      </c>
      <c r="H174" s="11">
        <v>115.04761904761926</v>
      </c>
      <c r="I174" s="11">
        <f t="shared" si="2"/>
        <v>199</v>
      </c>
    </row>
    <row r="175" spans="1:9" x14ac:dyDescent="0.3">
      <c r="A175" s="11" t="s">
        <v>29</v>
      </c>
      <c r="B175" s="11" t="s">
        <v>28</v>
      </c>
      <c r="C175" s="11" t="s">
        <v>24</v>
      </c>
      <c r="D175" s="12" t="s">
        <v>23</v>
      </c>
      <c r="E175" s="11">
        <v>32</v>
      </c>
      <c r="F175" s="11">
        <v>14400</v>
      </c>
      <c r="G175" s="11">
        <v>7420</v>
      </c>
      <c r="H175" s="11">
        <v>332.38095238095229</v>
      </c>
      <c r="I175" s="11">
        <f t="shared" si="2"/>
        <v>450</v>
      </c>
    </row>
    <row r="176" spans="1:9" x14ac:dyDescent="0.3">
      <c r="A176" s="9" t="s">
        <v>29</v>
      </c>
      <c r="B176" s="9" t="s">
        <v>28</v>
      </c>
      <c r="C176" s="9" t="s">
        <v>25</v>
      </c>
      <c r="D176" s="10" t="s">
        <v>23</v>
      </c>
      <c r="E176" s="11">
        <v>28</v>
      </c>
      <c r="F176" s="11">
        <v>25200</v>
      </c>
      <c r="G176" s="11">
        <v>14768</v>
      </c>
      <c r="H176" s="11">
        <v>1591.3220338983047</v>
      </c>
      <c r="I176" s="11">
        <f t="shared" si="2"/>
        <v>900</v>
      </c>
    </row>
    <row r="177" spans="1:9" x14ac:dyDescent="0.3">
      <c r="A177" s="11" t="s">
        <v>29</v>
      </c>
      <c r="B177" s="11" t="s">
        <v>28</v>
      </c>
      <c r="C177" s="11" t="s">
        <v>13</v>
      </c>
      <c r="D177" s="12" t="s">
        <v>14</v>
      </c>
      <c r="E177" s="11">
        <v>196</v>
      </c>
      <c r="F177" s="11">
        <v>73500</v>
      </c>
      <c r="G177" s="11">
        <v>51092</v>
      </c>
      <c r="H177" s="11">
        <v>1067.0476190476184</v>
      </c>
      <c r="I177" s="11">
        <f t="shared" si="2"/>
        <v>375</v>
      </c>
    </row>
    <row r="178" spans="1:9" x14ac:dyDescent="0.3">
      <c r="A178" s="9" t="s">
        <v>29</v>
      </c>
      <c r="B178" s="9" t="s">
        <v>28</v>
      </c>
      <c r="C178" s="9" t="s">
        <v>18</v>
      </c>
      <c r="D178" s="10" t="s">
        <v>17</v>
      </c>
      <c r="E178" s="11">
        <v>8</v>
      </c>
      <c r="F178" s="11">
        <v>4600</v>
      </c>
      <c r="G178" s="11">
        <v>1268</v>
      </c>
      <c r="H178" s="11">
        <v>357.00000000000045</v>
      </c>
      <c r="I178" s="11">
        <f t="shared" si="2"/>
        <v>575</v>
      </c>
    </row>
    <row r="179" spans="1:9" x14ac:dyDescent="0.3">
      <c r="A179" s="11" t="s">
        <v>29</v>
      </c>
      <c r="B179" s="11" t="s">
        <v>28</v>
      </c>
      <c r="C179" s="11" t="s">
        <v>22</v>
      </c>
      <c r="D179" s="12" t="s">
        <v>23</v>
      </c>
      <c r="E179" s="11">
        <v>12</v>
      </c>
      <c r="F179" s="11">
        <v>2388</v>
      </c>
      <c r="G179" s="11">
        <v>1180</v>
      </c>
      <c r="H179" s="11">
        <v>57.523809523809632</v>
      </c>
      <c r="I179" s="11">
        <f t="shared" si="2"/>
        <v>199</v>
      </c>
    </row>
    <row r="180" spans="1:9" x14ac:dyDescent="0.3">
      <c r="A180" s="9" t="s">
        <v>29</v>
      </c>
      <c r="B180" s="9" t="s">
        <v>28</v>
      </c>
      <c r="C180" s="9" t="s">
        <v>24</v>
      </c>
      <c r="D180" s="10" t="s">
        <v>23</v>
      </c>
      <c r="E180" s="11">
        <v>36</v>
      </c>
      <c r="F180" s="11">
        <v>16200</v>
      </c>
      <c r="G180" s="11">
        <v>8576</v>
      </c>
      <c r="H180" s="11">
        <v>363.04761904761926</v>
      </c>
      <c r="I180" s="11">
        <f t="shared" si="2"/>
        <v>450</v>
      </c>
    </row>
    <row r="181" spans="1:9" x14ac:dyDescent="0.3">
      <c r="A181" s="11" t="s">
        <v>29</v>
      </c>
      <c r="B181" s="11" t="s">
        <v>28</v>
      </c>
      <c r="C181" s="11" t="s">
        <v>25</v>
      </c>
      <c r="D181" s="12" t="s">
        <v>23</v>
      </c>
      <c r="E181" s="11">
        <v>36</v>
      </c>
      <c r="F181" s="11">
        <v>32400</v>
      </c>
      <c r="G181" s="11">
        <v>19196</v>
      </c>
      <c r="H181" s="11">
        <v>2014.1694915254229</v>
      </c>
      <c r="I181" s="11">
        <f t="shared" si="2"/>
        <v>900</v>
      </c>
    </row>
    <row r="182" spans="1:9" x14ac:dyDescent="0.3">
      <c r="A182" s="9" t="s">
        <v>29</v>
      </c>
      <c r="B182" s="9" t="s">
        <v>28</v>
      </c>
      <c r="C182" s="9" t="s">
        <v>13</v>
      </c>
      <c r="D182" s="10" t="s">
        <v>14</v>
      </c>
      <c r="E182" s="11">
        <v>44</v>
      </c>
      <c r="F182" s="11">
        <v>16500</v>
      </c>
      <c r="G182" s="11">
        <v>10020</v>
      </c>
      <c r="H182" s="11">
        <v>308.57142857142844</v>
      </c>
      <c r="I182" s="11">
        <f t="shared" si="2"/>
        <v>375</v>
      </c>
    </row>
    <row r="183" spans="1:9" x14ac:dyDescent="0.3">
      <c r="A183" s="11" t="s">
        <v>29</v>
      </c>
      <c r="B183" s="11" t="s">
        <v>28</v>
      </c>
      <c r="C183" s="11" t="s">
        <v>12</v>
      </c>
      <c r="D183" s="12" t="s">
        <v>11</v>
      </c>
      <c r="E183" s="11">
        <v>8</v>
      </c>
      <c r="F183" s="11">
        <v>4800</v>
      </c>
      <c r="G183" s="11">
        <v>1212</v>
      </c>
      <c r="H183" s="11">
        <v>170.85714285714312</v>
      </c>
      <c r="I183" s="11">
        <f t="shared" si="2"/>
        <v>600</v>
      </c>
    </row>
    <row r="184" spans="1:9" x14ac:dyDescent="0.3">
      <c r="A184" s="9" t="s">
        <v>29</v>
      </c>
      <c r="B184" s="9" t="s">
        <v>28</v>
      </c>
      <c r="C184" s="9" t="s">
        <v>18</v>
      </c>
      <c r="D184" s="10" t="s">
        <v>17</v>
      </c>
      <c r="E184" s="11">
        <v>8</v>
      </c>
      <c r="F184" s="11">
        <v>4600</v>
      </c>
      <c r="G184" s="11">
        <v>1088</v>
      </c>
      <c r="H184" s="11">
        <v>376.28571428571468</v>
      </c>
      <c r="I184" s="11">
        <f t="shared" si="2"/>
        <v>575</v>
      </c>
    </row>
    <row r="185" spans="1:9" x14ac:dyDescent="0.3">
      <c r="A185" s="11" t="s">
        <v>29</v>
      </c>
      <c r="B185" s="11" t="s">
        <v>28</v>
      </c>
      <c r="C185" s="11" t="s">
        <v>24</v>
      </c>
      <c r="D185" s="12" t="s">
        <v>23</v>
      </c>
      <c r="E185" s="11">
        <v>36</v>
      </c>
      <c r="F185" s="11">
        <v>16200</v>
      </c>
      <c r="G185" s="11">
        <v>8256</v>
      </c>
      <c r="H185" s="11">
        <v>378.28571428571468</v>
      </c>
      <c r="I185" s="11">
        <f t="shared" si="2"/>
        <v>450</v>
      </c>
    </row>
    <row r="186" spans="1:9" x14ac:dyDescent="0.3">
      <c r="A186" s="9" t="s">
        <v>29</v>
      </c>
      <c r="B186" s="9" t="s">
        <v>28</v>
      </c>
      <c r="C186" s="9" t="s">
        <v>25</v>
      </c>
      <c r="D186" s="10" t="s">
        <v>23</v>
      </c>
      <c r="E186" s="11">
        <v>24</v>
      </c>
      <c r="F186" s="11">
        <v>21600</v>
      </c>
      <c r="G186" s="11">
        <v>12044</v>
      </c>
      <c r="H186" s="11">
        <v>1457.6949152542365</v>
      </c>
      <c r="I186" s="11">
        <f t="shared" si="2"/>
        <v>900</v>
      </c>
    </row>
    <row r="187" spans="1:9" x14ac:dyDescent="0.3">
      <c r="A187" s="11" t="s">
        <v>29</v>
      </c>
      <c r="B187" s="11" t="s">
        <v>28</v>
      </c>
      <c r="C187" s="11" t="s">
        <v>13</v>
      </c>
      <c r="D187" s="12" t="s">
        <v>14</v>
      </c>
      <c r="E187" s="11">
        <v>16</v>
      </c>
      <c r="F187" s="11">
        <v>6000</v>
      </c>
      <c r="G187" s="11">
        <v>2472</v>
      </c>
      <c r="H187" s="11">
        <v>168</v>
      </c>
      <c r="I187" s="11">
        <f t="shared" si="2"/>
        <v>375</v>
      </c>
    </row>
    <row r="188" spans="1:9" x14ac:dyDescent="0.3">
      <c r="A188" s="9" t="s">
        <v>29</v>
      </c>
      <c r="B188" s="9" t="s">
        <v>28</v>
      </c>
      <c r="C188" s="9" t="s">
        <v>12</v>
      </c>
      <c r="D188" s="10" t="s">
        <v>11</v>
      </c>
      <c r="E188" s="11">
        <v>12</v>
      </c>
      <c r="F188" s="11">
        <v>7200</v>
      </c>
      <c r="G188" s="11">
        <v>1824</v>
      </c>
      <c r="H188" s="11">
        <v>256</v>
      </c>
      <c r="I188" s="11">
        <f t="shared" si="2"/>
        <v>600</v>
      </c>
    </row>
    <row r="189" spans="1:9" x14ac:dyDescent="0.3">
      <c r="A189" s="11" t="s">
        <v>29</v>
      </c>
      <c r="B189" s="11" t="s">
        <v>28</v>
      </c>
      <c r="C189" s="11" t="s">
        <v>18</v>
      </c>
      <c r="D189" s="12" t="s">
        <v>17</v>
      </c>
      <c r="E189" s="11">
        <v>4</v>
      </c>
      <c r="F189" s="11">
        <v>2300</v>
      </c>
      <c r="G189" s="11">
        <v>484</v>
      </c>
      <c r="H189" s="11">
        <v>194.57142857142867</v>
      </c>
      <c r="I189" s="11">
        <f t="shared" si="2"/>
        <v>575</v>
      </c>
    </row>
    <row r="190" spans="1:9" x14ac:dyDescent="0.3">
      <c r="A190" s="9" t="s">
        <v>29</v>
      </c>
      <c r="B190" s="9" t="s">
        <v>28</v>
      </c>
      <c r="C190" s="9" t="s">
        <v>24</v>
      </c>
      <c r="D190" s="10" t="s">
        <v>23</v>
      </c>
      <c r="E190" s="11">
        <v>32</v>
      </c>
      <c r="F190" s="11">
        <v>14400</v>
      </c>
      <c r="G190" s="11">
        <v>7324</v>
      </c>
      <c r="H190" s="11">
        <v>336.95238095238165</v>
      </c>
      <c r="I190" s="11">
        <f t="shared" si="2"/>
        <v>450</v>
      </c>
    </row>
    <row r="191" spans="1:9" x14ac:dyDescent="0.3">
      <c r="A191" s="11" t="s">
        <v>29</v>
      </c>
      <c r="B191" s="11" t="s">
        <v>28</v>
      </c>
      <c r="C191" s="11" t="s">
        <v>25</v>
      </c>
      <c r="D191" s="12" t="s">
        <v>23</v>
      </c>
      <c r="E191" s="11">
        <v>12</v>
      </c>
      <c r="F191" s="11">
        <v>10800</v>
      </c>
      <c r="G191" s="11">
        <v>6052</v>
      </c>
      <c r="H191" s="11">
        <v>724.27118644067787</v>
      </c>
      <c r="I191" s="11">
        <f t="shared" si="2"/>
        <v>900</v>
      </c>
    </row>
    <row r="192" spans="1:9" x14ac:dyDescent="0.3">
      <c r="A192" s="9" t="s">
        <v>29</v>
      </c>
      <c r="B192" s="9" t="s">
        <v>28</v>
      </c>
      <c r="C192" s="9" t="s">
        <v>13</v>
      </c>
      <c r="D192" s="10" t="s">
        <v>14</v>
      </c>
      <c r="E192" s="11">
        <v>8</v>
      </c>
      <c r="F192" s="11">
        <v>3000</v>
      </c>
      <c r="G192" s="11">
        <v>1156</v>
      </c>
      <c r="H192" s="11">
        <v>87.809523809523853</v>
      </c>
      <c r="I192" s="11">
        <f t="shared" si="2"/>
        <v>375</v>
      </c>
    </row>
    <row r="193" spans="1:9" x14ac:dyDescent="0.3">
      <c r="A193" s="11" t="s">
        <v>29</v>
      </c>
      <c r="B193" s="11" t="s">
        <v>28</v>
      </c>
      <c r="C193" s="11" t="s">
        <v>12</v>
      </c>
      <c r="D193" s="12" t="s">
        <v>11</v>
      </c>
      <c r="E193" s="11">
        <v>8</v>
      </c>
      <c r="F193" s="11">
        <v>4800</v>
      </c>
      <c r="G193" s="11">
        <v>1248</v>
      </c>
      <c r="H193" s="11">
        <v>169.14285714285734</v>
      </c>
      <c r="I193" s="11">
        <f t="shared" si="2"/>
        <v>600</v>
      </c>
    </row>
    <row r="194" spans="1:9" x14ac:dyDescent="0.3">
      <c r="A194" s="9" t="s">
        <v>29</v>
      </c>
      <c r="B194" s="9" t="s">
        <v>28</v>
      </c>
      <c r="C194" s="9" t="s">
        <v>16</v>
      </c>
      <c r="D194" s="10" t="s">
        <v>17</v>
      </c>
      <c r="E194" s="11">
        <v>4</v>
      </c>
      <c r="F194" s="11">
        <v>1196</v>
      </c>
      <c r="G194" s="11">
        <v>112</v>
      </c>
      <c r="H194" s="11">
        <v>116.14285714285722</v>
      </c>
      <c r="I194" s="11">
        <f t="shared" si="2"/>
        <v>299</v>
      </c>
    </row>
    <row r="195" spans="1:9" x14ac:dyDescent="0.3">
      <c r="A195" s="11" t="s">
        <v>29</v>
      </c>
      <c r="B195" s="11" t="s">
        <v>28</v>
      </c>
      <c r="C195" s="11" t="s">
        <v>18</v>
      </c>
      <c r="D195" s="12" t="s">
        <v>17</v>
      </c>
      <c r="E195" s="11">
        <v>4</v>
      </c>
      <c r="F195" s="11">
        <v>2300</v>
      </c>
      <c r="G195" s="11">
        <v>524</v>
      </c>
      <c r="H195" s="11">
        <v>190.28571428571445</v>
      </c>
      <c r="I195" s="11">
        <f t="shared" ref="I195:I258" si="3">IFERROR((F195/E195),0)</f>
        <v>575</v>
      </c>
    </row>
    <row r="196" spans="1:9" x14ac:dyDescent="0.3">
      <c r="A196" s="9" t="s">
        <v>29</v>
      </c>
      <c r="B196" s="9" t="s">
        <v>28</v>
      </c>
      <c r="C196" s="9" t="s">
        <v>21</v>
      </c>
      <c r="D196" s="10" t="s">
        <v>11</v>
      </c>
      <c r="E196" s="11">
        <v>12</v>
      </c>
      <c r="F196" s="11">
        <v>14400</v>
      </c>
      <c r="G196" s="11">
        <v>3692</v>
      </c>
      <c r="H196" s="11">
        <v>509.90476190476147</v>
      </c>
      <c r="I196" s="11">
        <f t="shared" si="3"/>
        <v>1200</v>
      </c>
    </row>
    <row r="197" spans="1:9" x14ac:dyDescent="0.3">
      <c r="A197" s="11" t="s">
        <v>29</v>
      </c>
      <c r="B197" s="11" t="s">
        <v>28</v>
      </c>
      <c r="C197" s="11" t="s">
        <v>22</v>
      </c>
      <c r="D197" s="12" t="s">
        <v>23</v>
      </c>
      <c r="E197" s="11">
        <v>36</v>
      </c>
      <c r="F197" s="11">
        <v>7164</v>
      </c>
      <c r="G197" s="11">
        <v>3592</v>
      </c>
      <c r="H197" s="11">
        <v>170.09523809523807</v>
      </c>
      <c r="I197" s="11">
        <f t="shared" si="3"/>
        <v>199</v>
      </c>
    </row>
    <row r="198" spans="1:9" x14ac:dyDescent="0.3">
      <c r="A198" s="9" t="s">
        <v>29</v>
      </c>
      <c r="B198" s="9" t="s">
        <v>28</v>
      </c>
      <c r="C198" s="9" t="s">
        <v>24</v>
      </c>
      <c r="D198" s="10" t="s">
        <v>23</v>
      </c>
      <c r="E198" s="11">
        <v>28</v>
      </c>
      <c r="F198" s="11">
        <v>12600</v>
      </c>
      <c r="G198" s="11">
        <v>6416</v>
      </c>
      <c r="H198" s="11">
        <v>294.47619047619082</v>
      </c>
      <c r="I198" s="11">
        <f t="shared" si="3"/>
        <v>450</v>
      </c>
    </row>
    <row r="199" spans="1:9" x14ac:dyDescent="0.3">
      <c r="A199" s="11" t="s">
        <v>29</v>
      </c>
      <c r="B199" s="11" t="s">
        <v>28</v>
      </c>
      <c r="C199" s="11" t="s">
        <v>25</v>
      </c>
      <c r="D199" s="12" t="s">
        <v>23</v>
      </c>
      <c r="E199" s="11">
        <v>16</v>
      </c>
      <c r="F199" s="11">
        <v>14400</v>
      </c>
      <c r="G199" s="11">
        <v>8096</v>
      </c>
      <c r="H199" s="11">
        <v>961.6271186440672</v>
      </c>
      <c r="I199" s="11">
        <f t="shared" si="3"/>
        <v>900</v>
      </c>
    </row>
    <row r="200" spans="1:9" x14ac:dyDescent="0.3">
      <c r="A200" s="9" t="s">
        <v>29</v>
      </c>
      <c r="B200" s="9" t="s">
        <v>28</v>
      </c>
      <c r="C200" s="9" t="s">
        <v>12</v>
      </c>
      <c r="D200" s="10" t="s">
        <v>11</v>
      </c>
      <c r="E200" s="11">
        <v>4</v>
      </c>
      <c r="F200" s="11">
        <v>2400</v>
      </c>
      <c r="G200" s="11">
        <v>584</v>
      </c>
      <c r="H200" s="11">
        <v>86.476190476190595</v>
      </c>
      <c r="I200" s="11">
        <f t="shared" si="3"/>
        <v>600</v>
      </c>
    </row>
    <row r="201" spans="1:9" x14ac:dyDescent="0.3">
      <c r="A201" s="11" t="s">
        <v>29</v>
      </c>
      <c r="B201" s="11" t="s">
        <v>28</v>
      </c>
      <c r="C201" s="11" t="s">
        <v>10</v>
      </c>
      <c r="D201" s="12" t="s">
        <v>11</v>
      </c>
      <c r="E201" s="11">
        <v>4</v>
      </c>
      <c r="F201" s="11">
        <v>1340</v>
      </c>
      <c r="G201" s="11">
        <v>124</v>
      </c>
      <c r="H201" s="11">
        <v>57.904761904761926</v>
      </c>
      <c r="I201" s="11">
        <f t="shared" si="3"/>
        <v>335</v>
      </c>
    </row>
    <row r="202" spans="1:9" x14ac:dyDescent="0.3">
      <c r="A202" s="9" t="s">
        <v>29</v>
      </c>
      <c r="B202" s="9" t="s">
        <v>28</v>
      </c>
      <c r="C202" s="9" t="s">
        <v>22</v>
      </c>
      <c r="D202" s="10" t="s">
        <v>23</v>
      </c>
      <c r="E202" s="11">
        <v>36</v>
      </c>
      <c r="F202" s="11">
        <v>7164</v>
      </c>
      <c r="G202" s="11">
        <v>3580</v>
      </c>
      <c r="H202" s="11">
        <v>170.66666666666697</v>
      </c>
      <c r="I202" s="11">
        <f t="shared" si="3"/>
        <v>199</v>
      </c>
    </row>
    <row r="203" spans="1:9" x14ac:dyDescent="0.3">
      <c r="A203" s="11" t="s">
        <v>29</v>
      </c>
      <c r="B203" s="11" t="s">
        <v>28</v>
      </c>
      <c r="C203" s="11" t="s">
        <v>24</v>
      </c>
      <c r="D203" s="12" t="s">
        <v>23</v>
      </c>
      <c r="E203" s="11">
        <v>48</v>
      </c>
      <c r="F203" s="11">
        <v>21600</v>
      </c>
      <c r="G203" s="11">
        <v>10960</v>
      </c>
      <c r="H203" s="11">
        <v>506.66666666666788</v>
      </c>
      <c r="I203" s="11">
        <f t="shared" si="3"/>
        <v>450</v>
      </c>
    </row>
    <row r="204" spans="1:9" x14ac:dyDescent="0.3">
      <c r="A204" s="9" t="s">
        <v>29</v>
      </c>
      <c r="B204" s="9" t="s">
        <v>28</v>
      </c>
      <c r="C204" s="9" t="s">
        <v>25</v>
      </c>
      <c r="D204" s="10" t="s">
        <v>23</v>
      </c>
      <c r="E204" s="11">
        <v>16</v>
      </c>
      <c r="F204" s="11">
        <v>14400</v>
      </c>
      <c r="G204" s="11">
        <v>8036</v>
      </c>
      <c r="H204" s="11">
        <v>970.77966101694892</v>
      </c>
      <c r="I204" s="11">
        <f t="shared" si="3"/>
        <v>900</v>
      </c>
    </row>
    <row r="205" spans="1:9" x14ac:dyDescent="0.3">
      <c r="A205" s="11" t="s">
        <v>29</v>
      </c>
      <c r="B205" s="11" t="s">
        <v>28</v>
      </c>
      <c r="C205" s="11" t="s">
        <v>13</v>
      </c>
      <c r="D205" s="12" t="s">
        <v>14</v>
      </c>
      <c r="E205" s="11">
        <v>8</v>
      </c>
      <c r="F205" s="11">
        <v>3000</v>
      </c>
      <c r="G205" s="11">
        <v>1312</v>
      </c>
      <c r="H205" s="11">
        <v>80.380952380952522</v>
      </c>
      <c r="I205" s="11">
        <f t="shared" si="3"/>
        <v>375</v>
      </c>
    </row>
    <row r="206" spans="1:9" x14ac:dyDescent="0.3">
      <c r="A206" s="9" t="s">
        <v>29</v>
      </c>
      <c r="B206" s="9" t="s">
        <v>28</v>
      </c>
      <c r="C206" s="9" t="s">
        <v>12</v>
      </c>
      <c r="D206" s="10" t="s">
        <v>11</v>
      </c>
      <c r="E206" s="11">
        <v>16</v>
      </c>
      <c r="F206" s="11">
        <v>9600</v>
      </c>
      <c r="G206" s="11">
        <v>2556</v>
      </c>
      <c r="H206" s="11">
        <v>335.42857142857156</v>
      </c>
      <c r="I206" s="11">
        <f t="shared" si="3"/>
        <v>600</v>
      </c>
    </row>
    <row r="207" spans="1:9" x14ac:dyDescent="0.3">
      <c r="A207" s="11" t="s">
        <v>29</v>
      </c>
      <c r="B207" s="11" t="s">
        <v>28</v>
      </c>
      <c r="C207" s="11" t="s">
        <v>10</v>
      </c>
      <c r="D207" s="12" t="s">
        <v>11</v>
      </c>
      <c r="E207" s="11">
        <v>4</v>
      </c>
      <c r="F207" s="11">
        <v>1340</v>
      </c>
      <c r="G207" s="11">
        <v>132</v>
      </c>
      <c r="H207" s="11">
        <v>57.523809523809632</v>
      </c>
      <c r="I207" s="11">
        <f t="shared" si="3"/>
        <v>335</v>
      </c>
    </row>
    <row r="208" spans="1:9" x14ac:dyDescent="0.3">
      <c r="A208" s="9" t="s">
        <v>29</v>
      </c>
      <c r="B208" s="9" t="s">
        <v>28</v>
      </c>
      <c r="C208" s="9" t="s">
        <v>22</v>
      </c>
      <c r="D208" s="10" t="s">
        <v>23</v>
      </c>
      <c r="E208" s="11">
        <v>108</v>
      </c>
      <c r="F208" s="11">
        <v>21492</v>
      </c>
      <c r="G208" s="11">
        <v>10696</v>
      </c>
      <c r="H208" s="11">
        <v>514.09523809523853</v>
      </c>
      <c r="I208" s="11">
        <f t="shared" si="3"/>
        <v>199</v>
      </c>
    </row>
    <row r="209" spans="1:9" x14ac:dyDescent="0.3">
      <c r="A209" s="11" t="s">
        <v>29</v>
      </c>
      <c r="B209" s="11" t="s">
        <v>28</v>
      </c>
      <c r="C209" s="11" t="s">
        <v>24</v>
      </c>
      <c r="D209" s="12" t="s">
        <v>23</v>
      </c>
      <c r="E209" s="11">
        <v>52</v>
      </c>
      <c r="F209" s="11">
        <v>23400</v>
      </c>
      <c r="G209" s="11">
        <v>11836</v>
      </c>
      <c r="H209" s="11">
        <v>550.66666666666788</v>
      </c>
      <c r="I209" s="11">
        <f t="shared" si="3"/>
        <v>450</v>
      </c>
    </row>
    <row r="210" spans="1:9" x14ac:dyDescent="0.3">
      <c r="A210" s="9" t="s">
        <v>29</v>
      </c>
      <c r="B210" s="9" t="s">
        <v>28</v>
      </c>
      <c r="C210" s="9" t="s">
        <v>25</v>
      </c>
      <c r="D210" s="10" t="s">
        <v>23</v>
      </c>
      <c r="E210" s="11">
        <v>36</v>
      </c>
      <c r="F210" s="11">
        <v>32400</v>
      </c>
      <c r="G210" s="11">
        <v>18256</v>
      </c>
      <c r="H210" s="11">
        <v>2157.5593220338978</v>
      </c>
      <c r="I210" s="11">
        <f t="shared" si="3"/>
        <v>900</v>
      </c>
    </row>
    <row r="211" spans="1:9" x14ac:dyDescent="0.3">
      <c r="A211" s="11" t="s">
        <v>29</v>
      </c>
      <c r="B211" s="11" t="s">
        <v>28</v>
      </c>
      <c r="C211" s="11" t="s">
        <v>13</v>
      </c>
      <c r="D211" s="12" t="s">
        <v>14</v>
      </c>
      <c r="E211" s="11">
        <v>8</v>
      </c>
      <c r="F211" s="11">
        <v>3000</v>
      </c>
      <c r="G211" s="11">
        <v>1292</v>
      </c>
      <c r="H211" s="11">
        <v>81.333333333333485</v>
      </c>
      <c r="I211" s="11">
        <f t="shared" si="3"/>
        <v>375</v>
      </c>
    </row>
    <row r="212" spans="1:9" x14ac:dyDescent="0.3">
      <c r="A212" s="9" t="s">
        <v>29</v>
      </c>
      <c r="B212" s="9" t="s">
        <v>28</v>
      </c>
      <c r="C212" s="9" t="s">
        <v>12</v>
      </c>
      <c r="D212" s="10" t="s">
        <v>11</v>
      </c>
      <c r="E212" s="11">
        <v>4</v>
      </c>
      <c r="F212" s="11">
        <v>2400</v>
      </c>
      <c r="G212" s="11">
        <v>584</v>
      </c>
      <c r="H212" s="11">
        <v>86.476190476190595</v>
      </c>
      <c r="I212" s="11">
        <f t="shared" si="3"/>
        <v>600</v>
      </c>
    </row>
    <row r="213" spans="1:9" x14ac:dyDescent="0.3">
      <c r="A213" s="11" t="s">
        <v>29</v>
      </c>
      <c r="B213" s="11" t="s">
        <v>28</v>
      </c>
      <c r="C213" s="11" t="s">
        <v>19</v>
      </c>
      <c r="D213" s="12" t="s">
        <v>17</v>
      </c>
      <c r="E213" s="11">
        <v>4</v>
      </c>
      <c r="F213" s="11">
        <v>4600</v>
      </c>
      <c r="G213" s="11">
        <v>1044</v>
      </c>
      <c r="H213" s="11">
        <v>381.00000000000045</v>
      </c>
      <c r="I213" s="11">
        <f t="shared" si="3"/>
        <v>1150</v>
      </c>
    </row>
    <row r="214" spans="1:9" x14ac:dyDescent="0.3">
      <c r="A214" s="9" t="s">
        <v>29</v>
      </c>
      <c r="B214" s="9" t="s">
        <v>28</v>
      </c>
      <c r="C214" s="9" t="s">
        <v>22</v>
      </c>
      <c r="D214" s="10" t="s">
        <v>23</v>
      </c>
      <c r="E214" s="11">
        <v>24</v>
      </c>
      <c r="F214" s="11">
        <v>4776</v>
      </c>
      <c r="G214" s="11">
        <v>2400</v>
      </c>
      <c r="H214" s="11">
        <v>113.14285714285734</v>
      </c>
      <c r="I214" s="11">
        <f t="shared" si="3"/>
        <v>199</v>
      </c>
    </row>
    <row r="215" spans="1:9" x14ac:dyDescent="0.3">
      <c r="A215" s="11" t="s">
        <v>29</v>
      </c>
      <c r="B215" s="11" t="s">
        <v>28</v>
      </c>
      <c r="C215" s="11" t="s">
        <v>24</v>
      </c>
      <c r="D215" s="12" t="s">
        <v>23</v>
      </c>
      <c r="E215" s="11">
        <v>48</v>
      </c>
      <c r="F215" s="11">
        <v>21600</v>
      </c>
      <c r="G215" s="11">
        <v>10968</v>
      </c>
      <c r="H215" s="11">
        <v>506.28571428571558</v>
      </c>
      <c r="I215" s="11">
        <f t="shared" si="3"/>
        <v>450</v>
      </c>
    </row>
    <row r="216" spans="1:9" x14ac:dyDescent="0.3">
      <c r="A216" s="9" t="s">
        <v>29</v>
      </c>
      <c r="B216" s="9" t="s">
        <v>28</v>
      </c>
      <c r="C216" s="9" t="s">
        <v>25</v>
      </c>
      <c r="D216" s="10" t="s">
        <v>23</v>
      </c>
      <c r="E216" s="11">
        <v>24</v>
      </c>
      <c r="F216" s="11">
        <v>21600</v>
      </c>
      <c r="G216" s="11">
        <v>12124</v>
      </c>
      <c r="H216" s="11">
        <v>1445.4915254237285</v>
      </c>
      <c r="I216" s="11">
        <f t="shared" si="3"/>
        <v>900</v>
      </c>
    </row>
    <row r="217" spans="1:9" x14ac:dyDescent="0.3">
      <c r="A217" s="11" t="s">
        <v>29</v>
      </c>
      <c r="B217" s="11" t="s">
        <v>28</v>
      </c>
      <c r="C217" s="11" t="s">
        <v>13</v>
      </c>
      <c r="D217" s="12" t="s">
        <v>14</v>
      </c>
      <c r="E217" s="11">
        <v>16</v>
      </c>
      <c r="F217" s="11">
        <v>6000</v>
      </c>
      <c r="G217" s="11">
        <v>2300</v>
      </c>
      <c r="H217" s="11">
        <v>176.19047619047615</v>
      </c>
      <c r="I217" s="11">
        <f t="shared" si="3"/>
        <v>375</v>
      </c>
    </row>
    <row r="218" spans="1:9" x14ac:dyDescent="0.3">
      <c r="A218" s="9" t="s">
        <v>29</v>
      </c>
      <c r="B218" s="9" t="s">
        <v>28</v>
      </c>
      <c r="C218" s="9" t="s">
        <v>22</v>
      </c>
      <c r="D218" s="10" t="s">
        <v>23</v>
      </c>
      <c r="E218" s="11">
        <v>36</v>
      </c>
      <c r="F218" s="11">
        <v>7164</v>
      </c>
      <c r="G218" s="11">
        <v>3580</v>
      </c>
      <c r="H218" s="11">
        <v>170.66666666666697</v>
      </c>
      <c r="I218" s="11">
        <f t="shared" si="3"/>
        <v>199</v>
      </c>
    </row>
    <row r="219" spans="1:9" x14ac:dyDescent="0.3">
      <c r="A219" s="11" t="s">
        <v>29</v>
      </c>
      <c r="B219" s="11" t="s">
        <v>28</v>
      </c>
      <c r="C219" s="11" t="s">
        <v>24</v>
      </c>
      <c r="D219" s="12" t="s">
        <v>23</v>
      </c>
      <c r="E219" s="11">
        <v>44</v>
      </c>
      <c r="F219" s="11">
        <v>19800</v>
      </c>
      <c r="G219" s="11">
        <v>10000</v>
      </c>
      <c r="H219" s="11">
        <v>466.66666666666788</v>
      </c>
      <c r="I219" s="11">
        <f t="shared" si="3"/>
        <v>450</v>
      </c>
    </row>
    <row r="220" spans="1:9" x14ac:dyDescent="0.3">
      <c r="A220" s="9" t="s">
        <v>29</v>
      </c>
      <c r="B220" s="9" t="s">
        <v>28</v>
      </c>
      <c r="C220" s="9" t="s">
        <v>25</v>
      </c>
      <c r="D220" s="10" t="s">
        <v>23</v>
      </c>
      <c r="E220" s="11">
        <v>20</v>
      </c>
      <c r="F220" s="11">
        <v>18000</v>
      </c>
      <c r="G220" s="11">
        <v>10180</v>
      </c>
      <c r="H220" s="11">
        <v>1192.8813559322034</v>
      </c>
      <c r="I220" s="11">
        <f t="shared" si="3"/>
        <v>900</v>
      </c>
    </row>
    <row r="221" spans="1:9" x14ac:dyDescent="0.3">
      <c r="A221" s="11" t="s">
        <v>29</v>
      </c>
      <c r="B221" s="11" t="s">
        <v>9</v>
      </c>
      <c r="C221" s="11" t="s">
        <v>13</v>
      </c>
      <c r="D221" s="12" t="s">
        <v>14</v>
      </c>
      <c r="E221" s="11">
        <v>8</v>
      </c>
      <c r="F221" s="11">
        <v>3000</v>
      </c>
      <c r="G221" s="11">
        <v>1220</v>
      </c>
      <c r="H221" s="11">
        <v>84.761904761904816</v>
      </c>
      <c r="I221" s="11">
        <f t="shared" si="3"/>
        <v>375</v>
      </c>
    </row>
    <row r="222" spans="1:9" x14ac:dyDescent="0.3">
      <c r="A222" s="9" t="s">
        <v>29</v>
      </c>
      <c r="B222" s="9" t="s">
        <v>9</v>
      </c>
      <c r="C222" s="9" t="s">
        <v>12</v>
      </c>
      <c r="D222" s="10" t="s">
        <v>11</v>
      </c>
      <c r="E222" s="11">
        <v>8</v>
      </c>
      <c r="F222" s="11">
        <v>4800</v>
      </c>
      <c r="G222" s="11">
        <v>1268</v>
      </c>
      <c r="H222" s="11">
        <v>168.19047619047615</v>
      </c>
      <c r="I222" s="11">
        <f t="shared" si="3"/>
        <v>600</v>
      </c>
    </row>
    <row r="223" spans="1:9" x14ac:dyDescent="0.3">
      <c r="A223" s="11" t="s">
        <v>29</v>
      </c>
      <c r="B223" s="11" t="s">
        <v>9</v>
      </c>
      <c r="C223" s="11" t="s">
        <v>18</v>
      </c>
      <c r="D223" s="12" t="s">
        <v>17</v>
      </c>
      <c r="E223" s="11">
        <v>12</v>
      </c>
      <c r="F223" s="11">
        <v>6900</v>
      </c>
      <c r="G223" s="11">
        <v>1552</v>
      </c>
      <c r="H223" s="11">
        <v>573</v>
      </c>
      <c r="I223" s="11">
        <f t="shared" si="3"/>
        <v>575</v>
      </c>
    </row>
    <row r="224" spans="1:9" x14ac:dyDescent="0.3">
      <c r="A224" s="9" t="s">
        <v>29</v>
      </c>
      <c r="B224" s="9" t="s">
        <v>9</v>
      </c>
      <c r="C224" s="9" t="s">
        <v>21</v>
      </c>
      <c r="D224" s="10" t="s">
        <v>11</v>
      </c>
      <c r="E224" s="11">
        <v>8</v>
      </c>
      <c r="F224" s="11">
        <v>9600</v>
      </c>
      <c r="G224" s="11">
        <v>2540</v>
      </c>
      <c r="H224" s="11">
        <v>336.19047619047615</v>
      </c>
      <c r="I224" s="11">
        <f t="shared" si="3"/>
        <v>1200</v>
      </c>
    </row>
    <row r="225" spans="1:9" x14ac:dyDescent="0.3">
      <c r="A225" s="11" t="s">
        <v>29</v>
      </c>
      <c r="B225" s="11" t="s">
        <v>9</v>
      </c>
      <c r="C225" s="11" t="s">
        <v>20</v>
      </c>
      <c r="D225" s="12" t="s">
        <v>14</v>
      </c>
      <c r="E225" s="11">
        <v>12</v>
      </c>
      <c r="F225" s="11">
        <v>9000</v>
      </c>
      <c r="G225" s="11">
        <v>4356</v>
      </c>
      <c r="H225" s="11">
        <v>221.14285714285688</v>
      </c>
      <c r="I225" s="11">
        <f t="shared" si="3"/>
        <v>750</v>
      </c>
    </row>
    <row r="226" spans="1:9" x14ac:dyDescent="0.3">
      <c r="A226" s="9" t="s">
        <v>29</v>
      </c>
      <c r="B226" s="9" t="s">
        <v>9</v>
      </c>
      <c r="C226" s="9" t="s">
        <v>22</v>
      </c>
      <c r="D226" s="10" t="s">
        <v>23</v>
      </c>
      <c r="E226" s="11">
        <v>60</v>
      </c>
      <c r="F226" s="11">
        <v>11940</v>
      </c>
      <c r="G226" s="11">
        <v>6088</v>
      </c>
      <c r="H226" s="11">
        <v>278.66666666666697</v>
      </c>
      <c r="I226" s="11">
        <f t="shared" si="3"/>
        <v>199</v>
      </c>
    </row>
    <row r="227" spans="1:9" x14ac:dyDescent="0.3">
      <c r="A227" s="11" t="s">
        <v>29</v>
      </c>
      <c r="B227" s="11" t="s">
        <v>9</v>
      </c>
      <c r="C227" s="11" t="s">
        <v>24</v>
      </c>
      <c r="D227" s="12" t="s">
        <v>23</v>
      </c>
      <c r="E227" s="11">
        <v>40</v>
      </c>
      <c r="F227" s="11">
        <v>18000</v>
      </c>
      <c r="G227" s="11">
        <v>9120</v>
      </c>
      <c r="H227" s="11">
        <v>422.85714285714312</v>
      </c>
      <c r="I227" s="11">
        <f t="shared" si="3"/>
        <v>450</v>
      </c>
    </row>
    <row r="228" spans="1:9" x14ac:dyDescent="0.3">
      <c r="A228" s="9" t="s">
        <v>29</v>
      </c>
      <c r="B228" s="9" t="s">
        <v>9</v>
      </c>
      <c r="C228" s="9" t="s">
        <v>25</v>
      </c>
      <c r="D228" s="10" t="s">
        <v>23</v>
      </c>
      <c r="E228" s="11">
        <v>32</v>
      </c>
      <c r="F228" s="11">
        <v>28800</v>
      </c>
      <c r="G228" s="11">
        <v>16428</v>
      </c>
      <c r="H228" s="11">
        <v>1887.2542372881344</v>
      </c>
      <c r="I228" s="11">
        <f t="shared" si="3"/>
        <v>900</v>
      </c>
    </row>
    <row r="229" spans="1:9" x14ac:dyDescent="0.3">
      <c r="A229" s="11" t="s">
        <v>29</v>
      </c>
      <c r="B229" s="11" t="s">
        <v>9</v>
      </c>
      <c r="C229" s="11" t="s">
        <v>13</v>
      </c>
      <c r="D229" s="12" t="s">
        <v>14</v>
      </c>
      <c r="E229" s="11">
        <v>12</v>
      </c>
      <c r="F229" s="11">
        <v>4500</v>
      </c>
      <c r="G229" s="11">
        <v>1952</v>
      </c>
      <c r="H229" s="11">
        <v>121.33333333333348</v>
      </c>
      <c r="I229" s="11">
        <f t="shared" si="3"/>
        <v>375</v>
      </c>
    </row>
    <row r="230" spans="1:9" x14ac:dyDescent="0.3">
      <c r="A230" s="9" t="s">
        <v>29</v>
      </c>
      <c r="B230" s="9" t="s">
        <v>9</v>
      </c>
      <c r="C230" s="9" t="s">
        <v>12</v>
      </c>
      <c r="D230" s="10" t="s">
        <v>11</v>
      </c>
      <c r="E230" s="11">
        <v>8</v>
      </c>
      <c r="F230" s="11">
        <v>4800</v>
      </c>
      <c r="G230" s="11">
        <v>1332</v>
      </c>
      <c r="H230" s="11">
        <v>165.14285714285734</v>
      </c>
      <c r="I230" s="11">
        <f t="shared" si="3"/>
        <v>600</v>
      </c>
    </row>
    <row r="231" spans="1:9" x14ac:dyDescent="0.3">
      <c r="A231" s="11" t="s">
        <v>29</v>
      </c>
      <c r="B231" s="11" t="s">
        <v>9</v>
      </c>
      <c r="C231" s="11" t="s">
        <v>18</v>
      </c>
      <c r="D231" s="12" t="s">
        <v>17</v>
      </c>
      <c r="E231" s="11">
        <v>8</v>
      </c>
      <c r="F231" s="11">
        <v>4600</v>
      </c>
      <c r="G231" s="11">
        <v>1120</v>
      </c>
      <c r="H231" s="11">
        <v>372.85714285714312</v>
      </c>
      <c r="I231" s="11">
        <f t="shared" si="3"/>
        <v>575</v>
      </c>
    </row>
    <row r="232" spans="1:9" x14ac:dyDescent="0.3">
      <c r="A232" s="9" t="s">
        <v>29</v>
      </c>
      <c r="B232" s="9" t="s">
        <v>9</v>
      </c>
      <c r="C232" s="9" t="s">
        <v>21</v>
      </c>
      <c r="D232" s="10" t="s">
        <v>11</v>
      </c>
      <c r="E232" s="11">
        <v>24</v>
      </c>
      <c r="F232" s="11">
        <v>28800</v>
      </c>
      <c r="G232" s="11">
        <v>8328</v>
      </c>
      <c r="H232" s="11">
        <v>974.85714285714494</v>
      </c>
      <c r="I232" s="11">
        <f t="shared" si="3"/>
        <v>1200</v>
      </c>
    </row>
    <row r="233" spans="1:9" x14ac:dyDescent="0.3">
      <c r="A233" s="11" t="s">
        <v>29</v>
      </c>
      <c r="B233" s="11" t="s">
        <v>9</v>
      </c>
      <c r="C233" s="11" t="s">
        <v>22</v>
      </c>
      <c r="D233" s="12" t="s">
        <v>23</v>
      </c>
      <c r="E233" s="11">
        <v>48</v>
      </c>
      <c r="F233" s="11">
        <v>9552</v>
      </c>
      <c r="G233" s="11">
        <v>4960</v>
      </c>
      <c r="H233" s="11">
        <v>218.66666666666697</v>
      </c>
      <c r="I233" s="11">
        <f t="shared" si="3"/>
        <v>199</v>
      </c>
    </row>
    <row r="234" spans="1:9" x14ac:dyDescent="0.3">
      <c r="A234" s="9" t="s">
        <v>29</v>
      </c>
      <c r="B234" s="9" t="s">
        <v>9</v>
      </c>
      <c r="C234" s="9" t="s">
        <v>24</v>
      </c>
      <c r="D234" s="10" t="s">
        <v>23</v>
      </c>
      <c r="E234" s="11">
        <v>60</v>
      </c>
      <c r="F234" s="11">
        <v>27000</v>
      </c>
      <c r="G234" s="11">
        <v>13792</v>
      </c>
      <c r="H234" s="11">
        <v>628.95238095238165</v>
      </c>
      <c r="I234" s="11">
        <f t="shared" si="3"/>
        <v>450</v>
      </c>
    </row>
    <row r="235" spans="1:9" x14ac:dyDescent="0.3">
      <c r="A235" s="11" t="s">
        <v>29</v>
      </c>
      <c r="B235" s="11" t="s">
        <v>9</v>
      </c>
      <c r="C235" s="11" t="s">
        <v>25</v>
      </c>
      <c r="D235" s="12" t="s">
        <v>23</v>
      </c>
      <c r="E235" s="11">
        <v>16</v>
      </c>
      <c r="F235" s="11">
        <v>14400</v>
      </c>
      <c r="G235" s="11">
        <v>8176</v>
      </c>
      <c r="H235" s="11">
        <v>949.42372881355914</v>
      </c>
      <c r="I235" s="11">
        <f t="shared" si="3"/>
        <v>900</v>
      </c>
    </row>
    <row r="236" spans="1:9" x14ac:dyDescent="0.3">
      <c r="A236" s="9" t="s">
        <v>29</v>
      </c>
      <c r="B236" s="9" t="s">
        <v>9</v>
      </c>
      <c r="C236" s="9" t="s">
        <v>13</v>
      </c>
      <c r="D236" s="10" t="s">
        <v>14</v>
      </c>
      <c r="E236" s="11">
        <v>24</v>
      </c>
      <c r="F236" s="11">
        <v>9000</v>
      </c>
      <c r="G236" s="11">
        <v>4624</v>
      </c>
      <c r="H236" s="11">
        <v>208.38095238095229</v>
      </c>
      <c r="I236" s="11">
        <f t="shared" si="3"/>
        <v>375</v>
      </c>
    </row>
    <row r="237" spans="1:9" x14ac:dyDescent="0.3">
      <c r="A237" s="11" t="s">
        <v>29</v>
      </c>
      <c r="B237" s="11" t="s">
        <v>9</v>
      </c>
      <c r="C237" s="11" t="s">
        <v>12</v>
      </c>
      <c r="D237" s="12" t="s">
        <v>11</v>
      </c>
      <c r="E237" s="11">
        <v>8</v>
      </c>
      <c r="F237" s="11">
        <v>4800</v>
      </c>
      <c r="G237" s="11">
        <v>1280</v>
      </c>
      <c r="H237" s="11">
        <v>167.61904761904771</v>
      </c>
      <c r="I237" s="11">
        <f t="shared" si="3"/>
        <v>600</v>
      </c>
    </row>
    <row r="238" spans="1:9" x14ac:dyDescent="0.3">
      <c r="A238" s="9" t="s">
        <v>29</v>
      </c>
      <c r="B238" s="9" t="s">
        <v>9</v>
      </c>
      <c r="C238" s="9" t="s">
        <v>18</v>
      </c>
      <c r="D238" s="10" t="s">
        <v>17</v>
      </c>
      <c r="E238" s="11">
        <v>8</v>
      </c>
      <c r="F238" s="11">
        <v>4600</v>
      </c>
      <c r="G238" s="11">
        <v>1100</v>
      </c>
      <c r="H238" s="11">
        <v>375.00000000000045</v>
      </c>
      <c r="I238" s="11">
        <f t="shared" si="3"/>
        <v>575</v>
      </c>
    </row>
    <row r="239" spans="1:9" x14ac:dyDescent="0.3">
      <c r="A239" s="11" t="s">
        <v>29</v>
      </c>
      <c r="B239" s="11" t="s">
        <v>9</v>
      </c>
      <c r="C239" s="11" t="s">
        <v>21</v>
      </c>
      <c r="D239" s="12" t="s">
        <v>11</v>
      </c>
      <c r="E239" s="11">
        <v>8</v>
      </c>
      <c r="F239" s="11">
        <v>9600</v>
      </c>
      <c r="G239" s="11">
        <v>2944</v>
      </c>
      <c r="H239" s="11">
        <v>316.95238095238165</v>
      </c>
      <c r="I239" s="11">
        <f t="shared" si="3"/>
        <v>1200</v>
      </c>
    </row>
    <row r="240" spans="1:9" x14ac:dyDescent="0.3">
      <c r="A240" s="9" t="s">
        <v>29</v>
      </c>
      <c r="B240" s="9" t="s">
        <v>9</v>
      </c>
      <c r="C240" s="9" t="s">
        <v>20</v>
      </c>
      <c r="D240" s="10" t="s">
        <v>14</v>
      </c>
      <c r="E240" s="11">
        <v>4</v>
      </c>
      <c r="F240" s="11">
        <v>3000</v>
      </c>
      <c r="G240" s="11">
        <v>1504</v>
      </c>
      <c r="H240" s="11">
        <v>71.238095238095411</v>
      </c>
      <c r="I240" s="11">
        <f t="shared" si="3"/>
        <v>750</v>
      </c>
    </row>
    <row r="241" spans="1:9" x14ac:dyDescent="0.3">
      <c r="A241" s="11" t="s">
        <v>29</v>
      </c>
      <c r="B241" s="11" t="s">
        <v>9</v>
      </c>
      <c r="C241" s="11" t="s">
        <v>22</v>
      </c>
      <c r="D241" s="12" t="s">
        <v>23</v>
      </c>
      <c r="E241" s="11">
        <v>60</v>
      </c>
      <c r="F241" s="11">
        <v>11940</v>
      </c>
      <c r="G241" s="11">
        <v>6228</v>
      </c>
      <c r="H241" s="11">
        <v>272</v>
      </c>
      <c r="I241" s="11">
        <f t="shared" si="3"/>
        <v>199</v>
      </c>
    </row>
    <row r="242" spans="1:9" x14ac:dyDescent="0.3">
      <c r="A242" s="9" t="s">
        <v>29</v>
      </c>
      <c r="B242" s="9" t="s">
        <v>9</v>
      </c>
      <c r="C242" s="9" t="s">
        <v>24</v>
      </c>
      <c r="D242" s="10" t="s">
        <v>23</v>
      </c>
      <c r="E242" s="11">
        <v>84</v>
      </c>
      <c r="F242" s="11">
        <v>37800</v>
      </c>
      <c r="G242" s="11">
        <v>19340</v>
      </c>
      <c r="H242" s="11">
        <v>879.04761904761835</v>
      </c>
      <c r="I242" s="11">
        <f t="shared" si="3"/>
        <v>450</v>
      </c>
    </row>
    <row r="243" spans="1:9" x14ac:dyDescent="0.3">
      <c r="A243" s="11" t="s">
        <v>29</v>
      </c>
      <c r="B243" s="11" t="s">
        <v>9</v>
      </c>
      <c r="C243" s="11" t="s">
        <v>13</v>
      </c>
      <c r="D243" s="12" t="s">
        <v>14</v>
      </c>
      <c r="E243" s="11">
        <v>48</v>
      </c>
      <c r="F243" s="11">
        <v>18000</v>
      </c>
      <c r="G243" s="11">
        <v>9488</v>
      </c>
      <c r="H243" s="11">
        <v>405.33333333333394</v>
      </c>
      <c r="I243" s="11">
        <f t="shared" si="3"/>
        <v>375</v>
      </c>
    </row>
    <row r="244" spans="1:9" x14ac:dyDescent="0.3">
      <c r="A244" s="9" t="s">
        <v>29</v>
      </c>
      <c r="B244" s="9" t="s">
        <v>9</v>
      </c>
      <c r="C244" s="9" t="s">
        <v>12</v>
      </c>
      <c r="D244" s="10" t="s">
        <v>11</v>
      </c>
      <c r="E244" s="11">
        <v>8</v>
      </c>
      <c r="F244" s="11">
        <v>4800</v>
      </c>
      <c r="G244" s="11">
        <v>1284</v>
      </c>
      <c r="H244" s="11">
        <v>167.42857142857156</v>
      </c>
      <c r="I244" s="11">
        <f t="shared" si="3"/>
        <v>600</v>
      </c>
    </row>
    <row r="245" spans="1:9" x14ac:dyDescent="0.3">
      <c r="A245" s="11" t="s">
        <v>29</v>
      </c>
      <c r="B245" s="11" t="s">
        <v>9</v>
      </c>
      <c r="C245" s="11" t="s">
        <v>18</v>
      </c>
      <c r="D245" s="12" t="s">
        <v>17</v>
      </c>
      <c r="E245" s="11">
        <v>4</v>
      </c>
      <c r="F245" s="11">
        <v>2300</v>
      </c>
      <c r="G245" s="11">
        <v>492</v>
      </c>
      <c r="H245" s="11">
        <v>193.71428571428578</v>
      </c>
      <c r="I245" s="11">
        <f t="shared" si="3"/>
        <v>575</v>
      </c>
    </row>
    <row r="246" spans="1:9" x14ac:dyDescent="0.3">
      <c r="A246" s="9" t="s">
        <v>29</v>
      </c>
      <c r="B246" s="9" t="s">
        <v>9</v>
      </c>
      <c r="C246" s="9" t="s">
        <v>21</v>
      </c>
      <c r="D246" s="10" t="s">
        <v>11</v>
      </c>
      <c r="E246" s="11">
        <v>4</v>
      </c>
      <c r="F246" s="11">
        <v>4800</v>
      </c>
      <c r="G246" s="11">
        <v>1352</v>
      </c>
      <c r="H246" s="11">
        <v>164.19047619047615</v>
      </c>
      <c r="I246" s="11">
        <f t="shared" si="3"/>
        <v>1200</v>
      </c>
    </row>
    <row r="247" spans="1:9" x14ac:dyDescent="0.3">
      <c r="A247" s="11" t="s">
        <v>29</v>
      </c>
      <c r="B247" s="11" t="s">
        <v>9</v>
      </c>
      <c r="C247" s="11" t="s">
        <v>22</v>
      </c>
      <c r="D247" s="12" t="s">
        <v>23</v>
      </c>
      <c r="E247" s="11">
        <v>36</v>
      </c>
      <c r="F247" s="11">
        <v>7164</v>
      </c>
      <c r="G247" s="11">
        <v>3732</v>
      </c>
      <c r="H247" s="11">
        <v>163.42857142857156</v>
      </c>
      <c r="I247" s="11">
        <f t="shared" si="3"/>
        <v>199</v>
      </c>
    </row>
    <row r="248" spans="1:9" x14ac:dyDescent="0.3">
      <c r="A248" s="9" t="s">
        <v>29</v>
      </c>
      <c r="B248" s="9" t="s">
        <v>9</v>
      </c>
      <c r="C248" s="9" t="s">
        <v>24</v>
      </c>
      <c r="D248" s="10" t="s">
        <v>23</v>
      </c>
      <c r="E248" s="11">
        <v>64</v>
      </c>
      <c r="F248" s="11">
        <v>28800</v>
      </c>
      <c r="G248" s="11">
        <v>14744</v>
      </c>
      <c r="H248" s="11">
        <v>669.33333333333394</v>
      </c>
      <c r="I248" s="11">
        <f t="shared" si="3"/>
        <v>450</v>
      </c>
    </row>
    <row r="249" spans="1:9" x14ac:dyDescent="0.3">
      <c r="A249" s="11" t="s">
        <v>29</v>
      </c>
      <c r="B249" s="11" t="s">
        <v>9</v>
      </c>
      <c r="C249" s="11" t="s">
        <v>25</v>
      </c>
      <c r="D249" s="12" t="s">
        <v>23</v>
      </c>
      <c r="E249" s="11">
        <v>16</v>
      </c>
      <c r="F249" s="11">
        <v>14400</v>
      </c>
      <c r="G249" s="11">
        <v>8176</v>
      </c>
      <c r="H249" s="11">
        <v>949.42372881355914</v>
      </c>
      <c r="I249" s="11">
        <f t="shared" si="3"/>
        <v>900</v>
      </c>
    </row>
    <row r="250" spans="1:9" x14ac:dyDescent="0.3">
      <c r="A250" s="9" t="s">
        <v>29</v>
      </c>
      <c r="B250" s="9" t="s">
        <v>9</v>
      </c>
      <c r="C250" s="9" t="s">
        <v>13</v>
      </c>
      <c r="D250" s="10" t="s">
        <v>14</v>
      </c>
      <c r="E250" s="11">
        <v>72</v>
      </c>
      <c r="F250" s="11">
        <v>27000</v>
      </c>
      <c r="G250" s="11">
        <v>14672</v>
      </c>
      <c r="H250" s="11">
        <v>587.04761904762017</v>
      </c>
      <c r="I250" s="11">
        <f t="shared" si="3"/>
        <v>375</v>
      </c>
    </row>
    <row r="251" spans="1:9" x14ac:dyDescent="0.3">
      <c r="A251" s="11" t="s">
        <v>29</v>
      </c>
      <c r="B251" s="11" t="s">
        <v>9</v>
      </c>
      <c r="C251" s="11" t="s">
        <v>15</v>
      </c>
      <c r="D251" s="12" t="s">
        <v>14</v>
      </c>
      <c r="E251" s="11">
        <v>12</v>
      </c>
      <c r="F251" s="11">
        <v>1980</v>
      </c>
      <c r="G251" s="11">
        <v>948</v>
      </c>
      <c r="H251" s="11">
        <v>49.142857142857224</v>
      </c>
      <c r="I251" s="11">
        <f t="shared" si="3"/>
        <v>165</v>
      </c>
    </row>
    <row r="252" spans="1:9" x14ac:dyDescent="0.3">
      <c r="A252" s="9" t="s">
        <v>29</v>
      </c>
      <c r="B252" s="9" t="s">
        <v>9</v>
      </c>
      <c r="C252" s="9" t="s">
        <v>18</v>
      </c>
      <c r="D252" s="10" t="s">
        <v>17</v>
      </c>
      <c r="E252" s="11">
        <v>12</v>
      </c>
      <c r="F252" s="11">
        <v>6900</v>
      </c>
      <c r="G252" s="11">
        <v>1644</v>
      </c>
      <c r="H252" s="11">
        <v>563.14285714285779</v>
      </c>
      <c r="I252" s="11">
        <f t="shared" si="3"/>
        <v>575</v>
      </c>
    </row>
    <row r="253" spans="1:9" x14ac:dyDescent="0.3">
      <c r="A253" s="11" t="s">
        <v>29</v>
      </c>
      <c r="B253" s="11" t="s">
        <v>9</v>
      </c>
      <c r="C253" s="11" t="s">
        <v>19</v>
      </c>
      <c r="D253" s="12" t="s">
        <v>17</v>
      </c>
      <c r="E253" s="11">
        <v>4</v>
      </c>
      <c r="F253" s="11">
        <v>4600</v>
      </c>
      <c r="G253" s="11">
        <v>1240</v>
      </c>
      <c r="H253" s="11">
        <v>360.00000000000045</v>
      </c>
      <c r="I253" s="11">
        <f t="shared" si="3"/>
        <v>1150</v>
      </c>
    </row>
    <row r="254" spans="1:9" x14ac:dyDescent="0.3">
      <c r="A254" s="9" t="s">
        <v>29</v>
      </c>
      <c r="B254" s="9" t="s">
        <v>9</v>
      </c>
      <c r="C254" s="9" t="s">
        <v>21</v>
      </c>
      <c r="D254" s="10" t="s">
        <v>11</v>
      </c>
      <c r="E254" s="11">
        <v>8</v>
      </c>
      <c r="F254" s="11">
        <v>9600</v>
      </c>
      <c r="G254" s="11">
        <v>2724</v>
      </c>
      <c r="H254" s="11">
        <v>327.42857142857156</v>
      </c>
      <c r="I254" s="11">
        <f t="shared" si="3"/>
        <v>1200</v>
      </c>
    </row>
    <row r="255" spans="1:9" x14ac:dyDescent="0.3">
      <c r="A255" s="11" t="s">
        <v>29</v>
      </c>
      <c r="B255" s="11" t="s">
        <v>9</v>
      </c>
      <c r="C255" s="11" t="s">
        <v>20</v>
      </c>
      <c r="D255" s="12" t="s">
        <v>14</v>
      </c>
      <c r="E255" s="11">
        <v>12</v>
      </c>
      <c r="F255" s="11">
        <v>9000</v>
      </c>
      <c r="G255" s="11">
        <v>4172</v>
      </c>
      <c r="H255" s="11">
        <v>229.90476190476238</v>
      </c>
      <c r="I255" s="11">
        <f t="shared" si="3"/>
        <v>750</v>
      </c>
    </row>
    <row r="256" spans="1:9" x14ac:dyDescent="0.3">
      <c r="A256" s="9" t="s">
        <v>29</v>
      </c>
      <c r="B256" s="9" t="s">
        <v>9</v>
      </c>
      <c r="C256" s="9" t="s">
        <v>22</v>
      </c>
      <c r="D256" s="10" t="s">
        <v>23</v>
      </c>
      <c r="E256" s="11">
        <v>36</v>
      </c>
      <c r="F256" s="11">
        <v>7164</v>
      </c>
      <c r="G256" s="11">
        <v>3732</v>
      </c>
      <c r="H256" s="11">
        <v>163.42857142857156</v>
      </c>
      <c r="I256" s="11">
        <f t="shared" si="3"/>
        <v>199</v>
      </c>
    </row>
    <row r="257" spans="1:9" x14ac:dyDescent="0.3">
      <c r="A257" s="11" t="s">
        <v>29</v>
      </c>
      <c r="B257" s="11" t="s">
        <v>9</v>
      </c>
      <c r="C257" s="11" t="s">
        <v>24</v>
      </c>
      <c r="D257" s="12" t="s">
        <v>23</v>
      </c>
      <c r="E257" s="11">
        <v>68</v>
      </c>
      <c r="F257" s="11">
        <v>30600</v>
      </c>
      <c r="G257" s="11">
        <v>15712</v>
      </c>
      <c r="H257" s="11">
        <v>708.95238095238165</v>
      </c>
      <c r="I257" s="11">
        <f t="shared" si="3"/>
        <v>450</v>
      </c>
    </row>
    <row r="258" spans="1:9" x14ac:dyDescent="0.3">
      <c r="A258" s="9" t="s">
        <v>29</v>
      </c>
      <c r="B258" s="9" t="s">
        <v>9</v>
      </c>
      <c r="C258" s="9" t="s">
        <v>25</v>
      </c>
      <c r="D258" s="10" t="s">
        <v>23</v>
      </c>
      <c r="E258" s="11">
        <v>56</v>
      </c>
      <c r="F258" s="11">
        <v>50400</v>
      </c>
      <c r="G258" s="11">
        <v>28500</v>
      </c>
      <c r="H258" s="11">
        <v>3340.6779661016953</v>
      </c>
      <c r="I258" s="11">
        <f t="shared" si="3"/>
        <v>900</v>
      </c>
    </row>
    <row r="259" spans="1:9" x14ac:dyDescent="0.3">
      <c r="A259" s="11" t="s">
        <v>29</v>
      </c>
      <c r="B259" s="11" t="s">
        <v>9</v>
      </c>
      <c r="C259" s="11" t="s">
        <v>13</v>
      </c>
      <c r="D259" s="12" t="s">
        <v>14</v>
      </c>
      <c r="E259" s="11">
        <v>20</v>
      </c>
      <c r="F259" s="11">
        <v>7500</v>
      </c>
      <c r="G259" s="11">
        <v>3960</v>
      </c>
      <c r="H259" s="11">
        <v>168.5714285714289</v>
      </c>
      <c r="I259" s="11">
        <f t="shared" ref="I259:I266" si="4">IFERROR((F259/E259),0)</f>
        <v>375</v>
      </c>
    </row>
    <row r="260" spans="1:9" x14ac:dyDescent="0.3">
      <c r="A260" s="9" t="s">
        <v>29</v>
      </c>
      <c r="B260" s="9" t="s">
        <v>9</v>
      </c>
      <c r="C260" s="9" t="s">
        <v>12</v>
      </c>
      <c r="D260" s="10" t="s">
        <v>11</v>
      </c>
      <c r="E260" s="11">
        <v>4</v>
      </c>
      <c r="F260" s="11">
        <v>2400</v>
      </c>
      <c r="G260" s="11">
        <v>720</v>
      </c>
      <c r="H260" s="11">
        <v>80</v>
      </c>
      <c r="I260" s="11">
        <f t="shared" si="4"/>
        <v>600</v>
      </c>
    </row>
    <row r="261" spans="1:9" x14ac:dyDescent="0.3">
      <c r="A261" s="11" t="s">
        <v>29</v>
      </c>
      <c r="B261" s="11" t="s">
        <v>9</v>
      </c>
      <c r="C261" s="11" t="s">
        <v>10</v>
      </c>
      <c r="D261" s="12" t="s">
        <v>11</v>
      </c>
      <c r="E261" s="11">
        <v>8</v>
      </c>
      <c r="F261" s="11">
        <v>2680</v>
      </c>
      <c r="G261" s="11">
        <v>1240</v>
      </c>
      <c r="H261" s="11">
        <v>68.571428571428669</v>
      </c>
      <c r="I261" s="11">
        <f t="shared" si="4"/>
        <v>335</v>
      </c>
    </row>
    <row r="262" spans="1:9" x14ac:dyDescent="0.3">
      <c r="A262" s="9" t="s">
        <v>29</v>
      </c>
      <c r="B262" s="9" t="s">
        <v>9</v>
      </c>
      <c r="C262" s="9" t="s">
        <v>16</v>
      </c>
      <c r="D262" s="10" t="s">
        <v>17</v>
      </c>
      <c r="E262" s="11">
        <v>8</v>
      </c>
      <c r="F262" s="11">
        <v>2392</v>
      </c>
      <c r="G262" s="11">
        <v>1112</v>
      </c>
      <c r="H262" s="11">
        <v>137.14285714285734</v>
      </c>
      <c r="I262" s="11">
        <f t="shared" si="4"/>
        <v>299</v>
      </c>
    </row>
    <row r="263" spans="1:9" x14ac:dyDescent="0.3">
      <c r="A263" s="11" t="s">
        <v>29</v>
      </c>
      <c r="B263" s="11" t="s">
        <v>9</v>
      </c>
      <c r="C263" s="11" t="s">
        <v>19</v>
      </c>
      <c r="D263" s="12" t="s">
        <v>17</v>
      </c>
      <c r="E263" s="11">
        <v>4</v>
      </c>
      <c r="F263" s="11">
        <v>4600</v>
      </c>
      <c r="G263" s="11">
        <v>1440</v>
      </c>
      <c r="H263" s="11">
        <v>338.5714285714289</v>
      </c>
      <c r="I263" s="11">
        <f t="shared" si="4"/>
        <v>1150</v>
      </c>
    </row>
    <row r="264" spans="1:9" x14ac:dyDescent="0.3">
      <c r="A264" s="9" t="s">
        <v>29</v>
      </c>
      <c r="B264" s="9" t="s">
        <v>9</v>
      </c>
      <c r="C264" s="9" t="s">
        <v>22</v>
      </c>
      <c r="D264" s="10" t="s">
        <v>23</v>
      </c>
      <c r="E264" s="11">
        <v>36</v>
      </c>
      <c r="F264" s="11">
        <v>7164</v>
      </c>
      <c r="G264" s="11">
        <v>3688</v>
      </c>
      <c r="H264" s="11">
        <v>165.52380952380963</v>
      </c>
      <c r="I264" s="11">
        <f t="shared" si="4"/>
        <v>199</v>
      </c>
    </row>
    <row r="265" spans="1:9" x14ac:dyDescent="0.3">
      <c r="A265" s="11" t="s">
        <v>29</v>
      </c>
      <c r="B265" s="11" t="s">
        <v>9</v>
      </c>
      <c r="C265" s="11" t="s">
        <v>24</v>
      </c>
      <c r="D265" s="12" t="s">
        <v>23</v>
      </c>
      <c r="E265" s="11">
        <v>8</v>
      </c>
      <c r="F265" s="11">
        <v>3600</v>
      </c>
      <c r="G265" s="11">
        <v>1808</v>
      </c>
      <c r="H265" s="11">
        <v>85.333333333333485</v>
      </c>
      <c r="I265" s="11">
        <f t="shared" si="4"/>
        <v>450</v>
      </c>
    </row>
    <row r="266" spans="1:9" x14ac:dyDescent="0.3">
      <c r="A266" s="9" t="s">
        <v>29</v>
      </c>
      <c r="B266" s="9" t="s">
        <v>9</v>
      </c>
      <c r="C266" s="9" t="s">
        <v>25</v>
      </c>
      <c r="D266" s="10" t="s">
        <v>23</v>
      </c>
      <c r="E266" s="11">
        <v>8</v>
      </c>
      <c r="F266" s="11">
        <v>7200</v>
      </c>
      <c r="G266" s="11">
        <v>4056</v>
      </c>
      <c r="H266" s="11">
        <v>479.59322033898297</v>
      </c>
      <c r="I266" s="11">
        <f t="shared" si="4"/>
        <v>900</v>
      </c>
    </row>
    <row r="267" spans="1:9" x14ac:dyDescent="0.3">
      <c r="C267" s="11"/>
    </row>
    <row r="268" spans="1:9" x14ac:dyDescent="0.3">
      <c r="A268" s="9"/>
      <c r="B268" s="9"/>
      <c r="C268" s="9"/>
      <c r="D268" s="10"/>
    </row>
    <row r="269" spans="1:9" x14ac:dyDescent="0.3">
      <c r="C269" s="11"/>
    </row>
    <row r="270" spans="1:9" x14ac:dyDescent="0.3">
      <c r="A270" s="9"/>
      <c r="B270" s="9"/>
      <c r="C270" s="9"/>
      <c r="D270" s="10"/>
    </row>
    <row r="271" spans="1:9" x14ac:dyDescent="0.3">
      <c r="C271" s="11"/>
    </row>
    <row r="272" spans="1:9" x14ac:dyDescent="0.3">
      <c r="A272" s="9"/>
      <c r="B272" s="9"/>
      <c r="C272" s="9"/>
      <c r="D272" s="10"/>
    </row>
    <row r="273" spans="1:4" x14ac:dyDescent="0.3">
      <c r="C273" s="11"/>
    </row>
    <row r="274" spans="1:4" x14ac:dyDescent="0.3">
      <c r="A274" s="9"/>
      <c r="B274" s="9"/>
      <c r="C274" s="9"/>
      <c r="D274" s="10"/>
    </row>
    <row r="275" spans="1:4" x14ac:dyDescent="0.3">
      <c r="C275" s="11"/>
    </row>
    <row r="276" spans="1:4" x14ac:dyDescent="0.3">
      <c r="A276" s="9"/>
      <c r="B276" s="9"/>
      <c r="C276" s="9"/>
      <c r="D276" s="10"/>
    </row>
    <row r="277" spans="1:4" x14ac:dyDescent="0.3">
      <c r="C277" s="11"/>
    </row>
    <row r="278" spans="1:4" x14ac:dyDescent="0.3">
      <c r="A278" s="9"/>
      <c r="B278" s="9"/>
      <c r="C278" s="9"/>
      <c r="D278" s="10"/>
    </row>
    <row r="279" spans="1:4" x14ac:dyDescent="0.3">
      <c r="C279" s="11"/>
    </row>
    <row r="280" spans="1:4" x14ac:dyDescent="0.3">
      <c r="A280" s="9"/>
      <c r="B280" s="9"/>
      <c r="C280" s="9"/>
      <c r="D280" s="10"/>
    </row>
    <row r="281" spans="1:4" x14ac:dyDescent="0.3">
      <c r="C281" s="11"/>
    </row>
    <row r="282" spans="1:4" x14ac:dyDescent="0.3">
      <c r="A282" s="9"/>
      <c r="B282" s="9"/>
      <c r="C282" s="9"/>
      <c r="D282" s="10"/>
    </row>
    <row r="283" spans="1:4" x14ac:dyDescent="0.3">
      <c r="C283" s="11"/>
    </row>
    <row r="284" spans="1:4" x14ac:dyDescent="0.3">
      <c r="A284" s="9"/>
      <c r="B284" s="9"/>
      <c r="C284" s="9"/>
      <c r="D284" s="10"/>
    </row>
    <row r="285" spans="1:4" x14ac:dyDescent="0.3">
      <c r="C285" s="11"/>
    </row>
    <row r="286" spans="1:4" x14ac:dyDescent="0.3">
      <c r="A286" s="9"/>
      <c r="B286" s="9"/>
      <c r="C286" s="9"/>
      <c r="D286" s="10"/>
    </row>
    <row r="287" spans="1:4" x14ac:dyDescent="0.3">
      <c r="C287" s="11"/>
    </row>
    <row r="288" spans="1:4" x14ac:dyDescent="0.3">
      <c r="A288" s="9"/>
      <c r="B288" s="9"/>
      <c r="C288" s="9"/>
      <c r="D288" s="10"/>
    </row>
    <row r="289" spans="1:4" x14ac:dyDescent="0.3">
      <c r="C289" s="11"/>
    </row>
    <row r="290" spans="1:4" x14ac:dyDescent="0.3">
      <c r="A290" s="9"/>
      <c r="B290" s="9"/>
      <c r="C290" s="9"/>
      <c r="D290" s="10"/>
    </row>
    <row r="291" spans="1:4" x14ac:dyDescent="0.3">
      <c r="C291" s="11"/>
    </row>
    <row r="292" spans="1:4" x14ac:dyDescent="0.3">
      <c r="A292" s="9"/>
      <c r="B292" s="9"/>
      <c r="C292" s="9"/>
      <c r="D292" s="10"/>
    </row>
    <row r="293" spans="1:4" x14ac:dyDescent="0.3">
      <c r="C293" s="11"/>
    </row>
    <row r="294" spans="1:4" x14ac:dyDescent="0.3">
      <c r="A294" s="9"/>
      <c r="B294" s="9"/>
      <c r="C294" s="9"/>
      <c r="D294" s="10"/>
    </row>
    <row r="295" spans="1:4" x14ac:dyDescent="0.3">
      <c r="C295" s="11"/>
    </row>
    <row r="296" spans="1:4" x14ac:dyDescent="0.3">
      <c r="A296" s="9"/>
      <c r="B296" s="9"/>
      <c r="C296" s="9"/>
      <c r="D296" s="10"/>
    </row>
    <row r="297" spans="1:4" x14ac:dyDescent="0.3">
      <c r="C297" s="11"/>
    </row>
    <row r="298" spans="1:4" x14ac:dyDescent="0.3">
      <c r="A298" s="9"/>
      <c r="B298" s="9"/>
      <c r="C298" s="9"/>
      <c r="D298" s="10"/>
    </row>
    <row r="299" spans="1:4" x14ac:dyDescent="0.3">
      <c r="C299" s="11"/>
    </row>
    <row r="300" spans="1:4" x14ac:dyDescent="0.3">
      <c r="A300" s="9"/>
      <c r="B300" s="9"/>
      <c r="C300" s="9"/>
      <c r="D300" s="10"/>
    </row>
    <row r="301" spans="1:4" x14ac:dyDescent="0.3">
      <c r="C301" s="11"/>
    </row>
    <row r="302" spans="1:4" x14ac:dyDescent="0.3">
      <c r="A302" s="9"/>
      <c r="B302" s="9"/>
      <c r="C302" s="9"/>
      <c r="D302" s="10"/>
    </row>
    <row r="303" spans="1:4" x14ac:dyDescent="0.3">
      <c r="C303" s="11"/>
    </row>
    <row r="304" spans="1:4" x14ac:dyDescent="0.3">
      <c r="A304" s="9"/>
      <c r="B304" s="9"/>
      <c r="C304" s="9"/>
      <c r="D304" s="10"/>
    </row>
    <row r="305" spans="1:4" x14ac:dyDescent="0.3">
      <c r="C305" s="11"/>
    </row>
    <row r="306" spans="1:4" x14ac:dyDescent="0.3">
      <c r="A306" s="9"/>
      <c r="B306" s="9"/>
      <c r="C306" s="9"/>
      <c r="D306" s="10"/>
    </row>
    <row r="307" spans="1:4" x14ac:dyDescent="0.3">
      <c r="C307" s="11"/>
    </row>
    <row r="308" spans="1:4" x14ac:dyDescent="0.3">
      <c r="A308" s="9"/>
      <c r="B308" s="9"/>
      <c r="C308" s="9"/>
      <c r="D308" s="10"/>
    </row>
    <row r="309" spans="1:4" x14ac:dyDescent="0.3">
      <c r="C309" s="11"/>
    </row>
    <row r="310" spans="1:4" x14ac:dyDescent="0.3">
      <c r="A310" s="9"/>
      <c r="B310" s="9"/>
      <c r="C310" s="9"/>
      <c r="D310" s="10"/>
    </row>
    <row r="311" spans="1:4" x14ac:dyDescent="0.3">
      <c r="C311" s="11"/>
    </row>
    <row r="312" spans="1:4" x14ac:dyDescent="0.3">
      <c r="A312" s="9"/>
      <c r="B312" s="9"/>
      <c r="C312" s="9"/>
      <c r="D312" s="10"/>
    </row>
    <row r="313" spans="1:4" x14ac:dyDescent="0.3">
      <c r="C313" s="11"/>
    </row>
    <row r="314" spans="1:4" x14ac:dyDescent="0.3">
      <c r="A314" s="9"/>
      <c r="B314" s="9"/>
      <c r="C314" s="9"/>
      <c r="D314" s="10"/>
    </row>
    <row r="315" spans="1:4" x14ac:dyDescent="0.3">
      <c r="C315" s="11"/>
    </row>
    <row r="316" spans="1:4" x14ac:dyDescent="0.3">
      <c r="A316" s="9"/>
      <c r="B316" s="9"/>
      <c r="C316" s="9"/>
      <c r="D316" s="10"/>
    </row>
    <row r="317" spans="1:4" x14ac:dyDescent="0.3">
      <c r="C317" s="11"/>
    </row>
    <row r="318" spans="1:4" x14ac:dyDescent="0.3">
      <c r="A318" s="9"/>
      <c r="B318" s="9"/>
      <c r="C318" s="9"/>
      <c r="D318" s="10"/>
    </row>
    <row r="319" spans="1:4" x14ac:dyDescent="0.3">
      <c r="C319" s="11"/>
    </row>
    <row r="320" spans="1:4" x14ac:dyDescent="0.3">
      <c r="A320" s="9"/>
      <c r="B320" s="9"/>
      <c r="C320" s="9"/>
      <c r="D320" s="10"/>
    </row>
    <row r="321" spans="1:4" x14ac:dyDescent="0.3">
      <c r="C321" s="11"/>
    </row>
    <row r="322" spans="1:4" x14ac:dyDescent="0.3">
      <c r="A322" s="9"/>
      <c r="B322" s="9"/>
      <c r="C322" s="9"/>
      <c r="D322" s="10"/>
    </row>
    <row r="323" spans="1:4" x14ac:dyDescent="0.3">
      <c r="C323" s="11"/>
    </row>
    <row r="324" spans="1:4" x14ac:dyDescent="0.3">
      <c r="A324" s="9"/>
      <c r="B324" s="9"/>
      <c r="C324" s="9"/>
      <c r="D324" s="10"/>
    </row>
    <row r="325" spans="1:4" x14ac:dyDescent="0.3">
      <c r="C325" s="11"/>
    </row>
    <row r="326" spans="1:4" x14ac:dyDescent="0.3">
      <c r="A326" s="9"/>
      <c r="B326" s="9"/>
      <c r="C326" s="9"/>
      <c r="D326" s="10"/>
    </row>
    <row r="327" spans="1:4" x14ac:dyDescent="0.3">
      <c r="C327" s="11"/>
    </row>
    <row r="328" spans="1:4" x14ac:dyDescent="0.3">
      <c r="A328" s="9"/>
      <c r="B328" s="9"/>
      <c r="C328" s="9"/>
      <c r="D328" s="10"/>
    </row>
    <row r="329" spans="1:4" x14ac:dyDescent="0.3">
      <c r="C329" s="11"/>
    </row>
    <row r="330" spans="1:4" x14ac:dyDescent="0.3">
      <c r="A330" s="9"/>
      <c r="B330" s="9"/>
      <c r="C330" s="9"/>
      <c r="D330" s="10"/>
    </row>
    <row r="331" spans="1:4" x14ac:dyDescent="0.3">
      <c r="C331" s="11"/>
    </row>
    <row r="332" spans="1:4" x14ac:dyDescent="0.3">
      <c r="A332" s="9"/>
      <c r="B332" s="9"/>
      <c r="C332" s="9"/>
      <c r="D332" s="10"/>
    </row>
    <row r="333" spans="1:4" x14ac:dyDescent="0.3">
      <c r="C333" s="11"/>
    </row>
    <row r="334" spans="1:4" x14ac:dyDescent="0.3">
      <c r="A334" s="9"/>
      <c r="B334" s="9"/>
      <c r="C334" s="9"/>
      <c r="D334" s="10"/>
    </row>
    <row r="335" spans="1:4" x14ac:dyDescent="0.3">
      <c r="C335" s="11"/>
    </row>
    <row r="336" spans="1:4" x14ac:dyDescent="0.3">
      <c r="A336" s="9"/>
      <c r="B336" s="9"/>
      <c r="C336" s="9"/>
      <c r="D336" s="10"/>
    </row>
    <row r="337" spans="1:4" x14ac:dyDescent="0.3">
      <c r="C337" s="11"/>
    </row>
    <row r="338" spans="1:4" x14ac:dyDescent="0.3">
      <c r="A338" s="9"/>
      <c r="B338" s="9"/>
      <c r="C338" s="9"/>
      <c r="D338" s="10"/>
    </row>
    <row r="339" spans="1:4" x14ac:dyDescent="0.3">
      <c r="C339" s="11"/>
    </row>
    <row r="340" spans="1:4" x14ac:dyDescent="0.3">
      <c r="A340" s="9"/>
      <c r="B340" s="9"/>
      <c r="C340" s="9"/>
      <c r="D340" s="10"/>
    </row>
    <row r="341" spans="1:4" x14ac:dyDescent="0.3">
      <c r="C341" s="11"/>
    </row>
    <row r="342" spans="1:4" x14ac:dyDescent="0.3">
      <c r="A342" s="9"/>
      <c r="B342" s="9"/>
      <c r="C342" s="9"/>
      <c r="D342" s="10"/>
    </row>
    <row r="343" spans="1:4" x14ac:dyDescent="0.3">
      <c r="C343" s="11"/>
    </row>
    <row r="344" spans="1:4" x14ac:dyDescent="0.3">
      <c r="A344" s="9"/>
      <c r="B344" s="9"/>
      <c r="C344" s="9"/>
      <c r="D344" s="10"/>
    </row>
    <row r="345" spans="1:4" x14ac:dyDescent="0.3">
      <c r="C345" s="11"/>
    </row>
    <row r="346" spans="1:4" x14ac:dyDescent="0.3">
      <c r="A346" s="9"/>
      <c r="B346" s="9"/>
      <c r="C346" s="9"/>
      <c r="D346" s="10"/>
    </row>
    <row r="347" spans="1:4" x14ac:dyDescent="0.3">
      <c r="C347" s="11"/>
    </row>
    <row r="348" spans="1:4" x14ac:dyDescent="0.3">
      <c r="A348" s="9"/>
      <c r="B348" s="9"/>
      <c r="C348" s="9"/>
      <c r="D348" s="10"/>
    </row>
    <row r="349" spans="1:4" x14ac:dyDescent="0.3">
      <c r="C349" s="11"/>
    </row>
    <row r="350" spans="1:4" x14ac:dyDescent="0.3">
      <c r="A350" s="9"/>
      <c r="B350" s="9"/>
      <c r="C350" s="9"/>
      <c r="D350" s="10"/>
    </row>
    <row r="351" spans="1:4" x14ac:dyDescent="0.3">
      <c r="C351" s="11"/>
    </row>
    <row r="352" spans="1:4" x14ac:dyDescent="0.3">
      <c r="A352" s="9"/>
      <c r="B352" s="9"/>
      <c r="C352" s="9"/>
      <c r="D352" s="10"/>
    </row>
    <row r="353" spans="1:4" x14ac:dyDescent="0.3">
      <c r="C353" s="11"/>
    </row>
    <row r="354" spans="1:4" x14ac:dyDescent="0.3">
      <c r="A354" s="9"/>
      <c r="B354" s="9"/>
      <c r="C354" s="9"/>
      <c r="D354" s="10"/>
    </row>
    <row r="355" spans="1:4" x14ac:dyDescent="0.3">
      <c r="C355" s="11"/>
    </row>
    <row r="356" spans="1:4" x14ac:dyDescent="0.3">
      <c r="A356" s="9"/>
      <c r="B356" s="9"/>
      <c r="C356" s="9"/>
      <c r="D356" s="10"/>
    </row>
    <row r="357" spans="1:4" x14ac:dyDescent="0.3">
      <c r="C357" s="11"/>
    </row>
    <row r="358" spans="1:4" x14ac:dyDescent="0.3">
      <c r="A358" s="9"/>
      <c r="B358" s="9"/>
      <c r="C358" s="9"/>
      <c r="D358" s="10"/>
    </row>
    <row r="359" spans="1:4" x14ac:dyDescent="0.3">
      <c r="C359" s="11"/>
    </row>
    <row r="360" spans="1:4" x14ac:dyDescent="0.3">
      <c r="A360" s="9"/>
      <c r="B360" s="9"/>
      <c r="C360" s="9"/>
      <c r="D360" s="10"/>
    </row>
    <row r="361" spans="1:4" x14ac:dyDescent="0.3">
      <c r="C361" s="11"/>
    </row>
    <row r="362" spans="1:4" x14ac:dyDescent="0.3">
      <c r="A362" s="9"/>
      <c r="B362" s="9"/>
      <c r="C362" s="9"/>
      <c r="D362" s="10"/>
    </row>
    <row r="363" spans="1:4" x14ac:dyDescent="0.3">
      <c r="C363" s="11"/>
    </row>
    <row r="364" spans="1:4" x14ac:dyDescent="0.3">
      <c r="A364" s="9"/>
      <c r="B364" s="9"/>
      <c r="C364" s="9"/>
      <c r="D364" s="10"/>
    </row>
    <row r="365" spans="1:4" x14ac:dyDescent="0.3">
      <c r="C365" s="11"/>
    </row>
    <row r="366" spans="1:4" x14ac:dyDescent="0.3">
      <c r="A366" s="9"/>
      <c r="B366" s="9"/>
      <c r="C366" s="9"/>
      <c r="D366" s="10"/>
    </row>
    <row r="367" spans="1:4" x14ac:dyDescent="0.3">
      <c r="C367" s="11"/>
    </row>
    <row r="368" spans="1:4" x14ac:dyDescent="0.3">
      <c r="A368" s="9"/>
      <c r="B368" s="9"/>
      <c r="C368" s="9"/>
      <c r="D368" s="10"/>
    </row>
    <row r="369" spans="1:4" x14ac:dyDescent="0.3">
      <c r="C369" s="11"/>
    </row>
    <row r="370" spans="1:4" x14ac:dyDescent="0.3">
      <c r="A370" s="9"/>
      <c r="B370" s="9"/>
      <c r="C370" s="9"/>
      <c r="D370" s="10"/>
    </row>
    <row r="371" spans="1:4" x14ac:dyDescent="0.3">
      <c r="C371" s="11"/>
    </row>
  </sheetData>
  <phoneticPr fontId="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0DED7-5B3A-4D6B-8321-BB92BDA8E92E}">
  <dimension ref="A1:M371"/>
  <sheetViews>
    <sheetView workbookViewId="0">
      <selection activeCell="I2" sqref="I2:I73"/>
    </sheetView>
  </sheetViews>
  <sheetFormatPr defaultColWidth="8.88671875" defaultRowHeight="14.4" x14ac:dyDescent="0.3"/>
  <cols>
    <col min="1" max="1" width="10.109375" style="11" bestFit="1" customWidth="1"/>
    <col min="2" max="2" width="8.5546875" style="11" bestFit="1" customWidth="1"/>
    <col min="3" max="3" width="18.44140625" style="12" bestFit="1" customWidth="1"/>
    <col min="4" max="4" width="11.88671875" style="12" bestFit="1" customWidth="1"/>
    <col min="5" max="5" width="7.6640625" style="11" bestFit="1" customWidth="1"/>
    <col min="6" max="6" width="12.33203125" style="11" bestFit="1" customWidth="1"/>
    <col min="7" max="7" width="14.77734375" style="11" bestFit="1" customWidth="1"/>
    <col min="8" max="8" width="12.6640625" style="11" bestFit="1" customWidth="1"/>
    <col min="9" max="9" width="5.88671875" style="11" bestFit="1" customWidth="1"/>
    <col min="10" max="12" width="8.88671875" style="11"/>
    <col min="13" max="13" width="11.33203125" style="11" bestFit="1" customWidth="1"/>
    <col min="14" max="16384" width="8.88671875" style="11"/>
  </cols>
  <sheetData>
    <row r="1" spans="1:13" s="5" customFormat="1" x14ac:dyDescent="0.3">
      <c r="A1" s="1" t="s">
        <v>0</v>
      </c>
      <c r="B1" s="2" t="s">
        <v>1</v>
      </c>
      <c r="C1" s="3" t="s">
        <v>2</v>
      </c>
      <c r="D1" s="3" t="s">
        <v>3</v>
      </c>
      <c r="E1" s="3" t="s">
        <v>4</v>
      </c>
      <c r="F1" s="3" t="s">
        <v>5</v>
      </c>
      <c r="G1" s="3" t="s">
        <v>34</v>
      </c>
      <c r="H1" s="4" t="s">
        <v>6</v>
      </c>
      <c r="I1" s="7" t="s">
        <v>33</v>
      </c>
      <c r="J1" s="6"/>
      <c r="K1" s="7"/>
      <c r="M1" s="8"/>
    </row>
    <row r="2" spans="1:13" x14ac:dyDescent="0.3">
      <c r="A2" s="9" t="s">
        <v>30</v>
      </c>
      <c r="B2" s="9" t="s">
        <v>28</v>
      </c>
      <c r="C2" s="9" t="s">
        <v>24</v>
      </c>
      <c r="D2" s="10" t="s">
        <v>23</v>
      </c>
      <c r="E2" s="11">
        <v>2</v>
      </c>
      <c r="F2" s="11">
        <v>900</v>
      </c>
      <c r="G2" s="11">
        <v>344</v>
      </c>
      <c r="H2" s="11">
        <v>26.476190476190482</v>
      </c>
      <c r="I2" s="11">
        <f>IFERROR((F2/E2),0)</f>
        <v>450</v>
      </c>
    </row>
    <row r="3" spans="1:13" x14ac:dyDescent="0.3">
      <c r="A3" s="11" t="s">
        <v>30</v>
      </c>
      <c r="B3" s="11" t="s">
        <v>28</v>
      </c>
      <c r="C3" s="11" t="s">
        <v>13</v>
      </c>
      <c r="D3" s="12" t="s">
        <v>14</v>
      </c>
      <c r="E3" s="11">
        <v>2</v>
      </c>
      <c r="F3" s="11">
        <v>750</v>
      </c>
      <c r="G3" s="11">
        <v>334</v>
      </c>
      <c r="H3" s="11">
        <v>19.809523809523853</v>
      </c>
      <c r="I3" s="11">
        <f t="shared" ref="I3:I66" si="0">IFERROR((F3/E3),0)</f>
        <v>375</v>
      </c>
    </row>
    <row r="4" spans="1:13" x14ac:dyDescent="0.3">
      <c r="A4" s="9" t="s">
        <v>30</v>
      </c>
      <c r="B4" s="9" t="s">
        <v>28</v>
      </c>
      <c r="C4" s="9" t="s">
        <v>18</v>
      </c>
      <c r="D4" s="10" t="s">
        <v>17</v>
      </c>
      <c r="E4" s="11">
        <v>2</v>
      </c>
      <c r="F4" s="11">
        <v>1150</v>
      </c>
      <c r="G4" s="11">
        <v>294</v>
      </c>
      <c r="H4" s="11">
        <v>91.714285714285779</v>
      </c>
      <c r="I4" s="11">
        <f t="shared" si="0"/>
        <v>575</v>
      </c>
    </row>
    <row r="5" spans="1:13" x14ac:dyDescent="0.3">
      <c r="A5" s="11" t="s">
        <v>30</v>
      </c>
      <c r="B5" s="11" t="s">
        <v>28</v>
      </c>
      <c r="C5" s="11" t="s">
        <v>22</v>
      </c>
      <c r="D5" s="12" t="s">
        <v>23</v>
      </c>
      <c r="E5" s="11">
        <v>4</v>
      </c>
      <c r="F5" s="11">
        <v>796</v>
      </c>
      <c r="G5" s="11">
        <v>200</v>
      </c>
      <c r="H5" s="11">
        <v>28.380952380952408</v>
      </c>
      <c r="I5" s="11">
        <f t="shared" si="0"/>
        <v>199</v>
      </c>
    </row>
    <row r="6" spans="1:13" x14ac:dyDescent="0.3">
      <c r="A6" s="9" t="s">
        <v>30</v>
      </c>
      <c r="B6" s="9" t="s">
        <v>28</v>
      </c>
      <c r="C6" s="9" t="s">
        <v>12</v>
      </c>
      <c r="D6" s="10" t="s">
        <v>11</v>
      </c>
      <c r="E6" s="11">
        <v>4</v>
      </c>
      <c r="F6" s="11">
        <v>2400</v>
      </c>
      <c r="G6" s="11">
        <v>688</v>
      </c>
      <c r="H6" s="11">
        <v>81.523809523809632</v>
      </c>
      <c r="I6" s="11">
        <f t="shared" si="0"/>
        <v>600</v>
      </c>
    </row>
    <row r="7" spans="1:13" x14ac:dyDescent="0.3">
      <c r="A7" s="11" t="s">
        <v>30</v>
      </c>
      <c r="B7" s="11" t="s">
        <v>28</v>
      </c>
      <c r="C7" s="11" t="s">
        <v>13</v>
      </c>
      <c r="D7" s="12" t="s">
        <v>14</v>
      </c>
      <c r="E7" s="11">
        <v>2</v>
      </c>
      <c r="F7" s="11">
        <v>750</v>
      </c>
      <c r="G7" s="11">
        <v>334</v>
      </c>
      <c r="H7" s="11">
        <v>19.809523809523853</v>
      </c>
      <c r="I7" s="11">
        <f t="shared" si="0"/>
        <v>375</v>
      </c>
    </row>
    <row r="8" spans="1:13" x14ac:dyDescent="0.3">
      <c r="A8" s="9" t="s">
        <v>30</v>
      </c>
      <c r="B8" s="9" t="s">
        <v>28</v>
      </c>
      <c r="C8" s="9" t="s">
        <v>18</v>
      </c>
      <c r="D8" s="10" t="s">
        <v>17</v>
      </c>
      <c r="E8" s="11">
        <v>2</v>
      </c>
      <c r="F8" s="11">
        <v>1150</v>
      </c>
      <c r="G8" s="11">
        <v>294</v>
      </c>
      <c r="H8" s="11">
        <v>91.714285714285779</v>
      </c>
      <c r="I8" s="11">
        <f t="shared" si="0"/>
        <v>575</v>
      </c>
    </row>
    <row r="9" spans="1:13" x14ac:dyDescent="0.3">
      <c r="A9" s="11" t="s">
        <v>30</v>
      </c>
      <c r="B9" s="11" t="s">
        <v>28</v>
      </c>
      <c r="C9" s="11" t="s">
        <v>22</v>
      </c>
      <c r="D9" s="12" t="s">
        <v>23</v>
      </c>
      <c r="E9" s="11">
        <v>2</v>
      </c>
      <c r="F9" s="11">
        <v>398</v>
      </c>
      <c r="G9" s="11">
        <v>100</v>
      </c>
      <c r="H9" s="11">
        <v>14.190476190476204</v>
      </c>
      <c r="I9" s="11">
        <f t="shared" si="0"/>
        <v>199</v>
      </c>
    </row>
    <row r="10" spans="1:13" x14ac:dyDescent="0.3">
      <c r="A10" s="9" t="s">
        <v>30</v>
      </c>
      <c r="B10" s="9" t="s">
        <v>28</v>
      </c>
      <c r="C10" s="9" t="s">
        <v>24</v>
      </c>
      <c r="D10" s="10" t="s">
        <v>23</v>
      </c>
      <c r="E10" s="11">
        <v>2</v>
      </c>
      <c r="F10" s="11">
        <v>900</v>
      </c>
      <c r="G10" s="11">
        <v>344</v>
      </c>
      <c r="H10" s="11">
        <v>26.476190476190482</v>
      </c>
      <c r="I10" s="11">
        <f t="shared" si="0"/>
        <v>450</v>
      </c>
    </row>
    <row r="11" spans="1:13" x14ac:dyDescent="0.3">
      <c r="A11" s="11" t="s">
        <v>30</v>
      </c>
      <c r="B11" s="11" t="s">
        <v>28</v>
      </c>
      <c r="C11" s="11" t="s">
        <v>22</v>
      </c>
      <c r="D11" s="12" t="s">
        <v>23</v>
      </c>
      <c r="E11" s="11">
        <v>2</v>
      </c>
      <c r="F11" s="11">
        <v>398</v>
      </c>
      <c r="G11" s="11">
        <v>100</v>
      </c>
      <c r="H11" s="11">
        <v>14.190476190476204</v>
      </c>
      <c r="I11" s="11">
        <f t="shared" si="0"/>
        <v>199</v>
      </c>
    </row>
    <row r="12" spans="1:13" x14ac:dyDescent="0.3">
      <c r="A12" s="9" t="s">
        <v>30</v>
      </c>
      <c r="B12" s="9" t="s">
        <v>28</v>
      </c>
      <c r="C12" s="9" t="s">
        <v>12</v>
      </c>
      <c r="D12" s="10" t="s">
        <v>11</v>
      </c>
      <c r="E12" s="11">
        <v>4</v>
      </c>
      <c r="F12" s="11">
        <v>2400</v>
      </c>
      <c r="G12" s="11">
        <v>688</v>
      </c>
      <c r="H12" s="11">
        <v>81.523809523809632</v>
      </c>
      <c r="I12" s="11">
        <f t="shared" si="0"/>
        <v>600</v>
      </c>
    </row>
    <row r="13" spans="1:13" x14ac:dyDescent="0.3">
      <c r="A13" s="11" t="s">
        <v>30</v>
      </c>
      <c r="B13" s="11" t="s">
        <v>28</v>
      </c>
      <c r="C13" s="11" t="s">
        <v>21</v>
      </c>
      <c r="D13" s="12" t="s">
        <v>11</v>
      </c>
      <c r="E13" s="11">
        <v>4</v>
      </c>
      <c r="F13" s="11">
        <v>4800</v>
      </c>
      <c r="G13" s="11">
        <v>1520</v>
      </c>
      <c r="H13" s="11">
        <v>156.19047619047615</v>
      </c>
      <c r="I13" s="11">
        <f t="shared" si="0"/>
        <v>1200</v>
      </c>
    </row>
    <row r="14" spans="1:13" x14ac:dyDescent="0.3">
      <c r="A14" s="9" t="s">
        <v>30</v>
      </c>
      <c r="B14" s="9" t="s">
        <v>28</v>
      </c>
      <c r="C14" s="9" t="s">
        <v>24</v>
      </c>
      <c r="D14" s="10" t="s">
        <v>23</v>
      </c>
      <c r="E14" s="11">
        <v>2</v>
      </c>
      <c r="F14" s="11">
        <v>900</v>
      </c>
      <c r="G14" s="11">
        <v>344</v>
      </c>
      <c r="H14" s="11">
        <v>26.476190476190482</v>
      </c>
      <c r="I14" s="11">
        <f t="shared" si="0"/>
        <v>450</v>
      </c>
    </row>
    <row r="15" spans="1:13" x14ac:dyDescent="0.3">
      <c r="A15" s="11" t="s">
        <v>30</v>
      </c>
      <c r="B15" s="11" t="s">
        <v>28</v>
      </c>
      <c r="C15" s="11" t="s">
        <v>12</v>
      </c>
      <c r="D15" s="12" t="s">
        <v>11</v>
      </c>
      <c r="E15" s="11">
        <v>2</v>
      </c>
      <c r="F15" s="11">
        <v>1200</v>
      </c>
      <c r="G15" s="11">
        <v>344</v>
      </c>
      <c r="H15" s="11">
        <v>40.761904761904816</v>
      </c>
      <c r="I15" s="11">
        <f t="shared" si="0"/>
        <v>600</v>
      </c>
    </row>
    <row r="16" spans="1:13" x14ac:dyDescent="0.3">
      <c r="A16" s="9" t="s">
        <v>30</v>
      </c>
      <c r="B16" s="9" t="s">
        <v>28</v>
      </c>
      <c r="C16" s="9" t="s">
        <v>19</v>
      </c>
      <c r="D16" s="10" t="s">
        <v>17</v>
      </c>
      <c r="E16" s="11">
        <v>4</v>
      </c>
      <c r="F16" s="11">
        <v>4600</v>
      </c>
      <c r="G16" s="11">
        <v>1320</v>
      </c>
      <c r="H16" s="11">
        <v>351.42857142857156</v>
      </c>
      <c r="I16" s="11">
        <f t="shared" si="0"/>
        <v>1150</v>
      </c>
    </row>
    <row r="17" spans="1:9" x14ac:dyDescent="0.3">
      <c r="A17" s="11" t="s">
        <v>30</v>
      </c>
      <c r="B17" s="11" t="s">
        <v>28</v>
      </c>
      <c r="C17" s="11" t="s">
        <v>24</v>
      </c>
      <c r="D17" s="12" t="s">
        <v>23</v>
      </c>
      <c r="E17" s="11">
        <v>2</v>
      </c>
      <c r="F17" s="11">
        <v>900</v>
      </c>
      <c r="G17" s="11">
        <v>344</v>
      </c>
      <c r="H17" s="11">
        <v>26.476190476190482</v>
      </c>
      <c r="I17" s="11">
        <f t="shared" si="0"/>
        <v>450</v>
      </c>
    </row>
    <row r="18" spans="1:9" x14ac:dyDescent="0.3">
      <c r="A18" s="9" t="s">
        <v>30</v>
      </c>
      <c r="B18" s="9" t="s">
        <v>28</v>
      </c>
      <c r="C18" s="9" t="s">
        <v>18</v>
      </c>
      <c r="D18" s="10" t="s">
        <v>17</v>
      </c>
      <c r="E18" s="11">
        <v>2</v>
      </c>
      <c r="F18" s="11">
        <v>1150</v>
      </c>
      <c r="G18" s="11">
        <v>294</v>
      </c>
      <c r="H18" s="11">
        <v>91.714285714285779</v>
      </c>
      <c r="I18" s="11">
        <f t="shared" si="0"/>
        <v>575</v>
      </c>
    </row>
    <row r="19" spans="1:9" x14ac:dyDescent="0.3">
      <c r="A19" s="11" t="s">
        <v>30</v>
      </c>
      <c r="B19" s="11" t="s">
        <v>28</v>
      </c>
      <c r="C19" s="11" t="s">
        <v>22</v>
      </c>
      <c r="D19" s="12" t="s">
        <v>23</v>
      </c>
      <c r="E19" s="11">
        <v>2</v>
      </c>
      <c r="F19" s="11">
        <v>398</v>
      </c>
      <c r="G19" s="11">
        <v>100</v>
      </c>
      <c r="H19" s="11">
        <v>14.190476190476204</v>
      </c>
      <c r="I19" s="11">
        <f t="shared" si="0"/>
        <v>199</v>
      </c>
    </row>
    <row r="20" spans="1:9" x14ac:dyDescent="0.3">
      <c r="A20" s="9" t="s">
        <v>30</v>
      </c>
      <c r="B20" s="9" t="s">
        <v>28</v>
      </c>
      <c r="C20" s="9" t="s">
        <v>12</v>
      </c>
      <c r="D20" s="10" t="s">
        <v>11</v>
      </c>
      <c r="E20" s="11">
        <v>2</v>
      </c>
      <c r="F20" s="11">
        <v>1200</v>
      </c>
      <c r="G20" s="11">
        <v>202</v>
      </c>
      <c r="H20" s="11">
        <v>47.523809523809518</v>
      </c>
      <c r="I20" s="11">
        <f t="shared" si="0"/>
        <v>600</v>
      </c>
    </row>
    <row r="21" spans="1:9" x14ac:dyDescent="0.3">
      <c r="A21" s="11" t="s">
        <v>30</v>
      </c>
      <c r="B21" s="11" t="s">
        <v>28</v>
      </c>
      <c r="C21" s="11" t="s">
        <v>16</v>
      </c>
      <c r="D21" s="12" t="s">
        <v>17</v>
      </c>
      <c r="E21" s="11">
        <v>2</v>
      </c>
      <c r="F21" s="11">
        <v>598</v>
      </c>
      <c r="G21" s="11">
        <v>100</v>
      </c>
      <c r="H21" s="11">
        <v>53.35714285714289</v>
      </c>
      <c r="I21" s="11">
        <f t="shared" si="0"/>
        <v>299</v>
      </c>
    </row>
    <row r="22" spans="1:9" x14ac:dyDescent="0.3">
      <c r="A22" s="9" t="s">
        <v>30</v>
      </c>
      <c r="B22" s="9" t="s">
        <v>28</v>
      </c>
      <c r="C22" s="9" t="s">
        <v>21</v>
      </c>
      <c r="D22" s="10" t="s">
        <v>11</v>
      </c>
      <c r="E22" s="11">
        <v>2</v>
      </c>
      <c r="F22" s="11">
        <v>2400</v>
      </c>
      <c r="G22" s="11">
        <v>602</v>
      </c>
      <c r="H22" s="11">
        <v>85.619047619047706</v>
      </c>
      <c r="I22" s="11">
        <f t="shared" si="0"/>
        <v>1200</v>
      </c>
    </row>
    <row r="23" spans="1:9" x14ac:dyDescent="0.3">
      <c r="A23" s="11" t="s">
        <v>30</v>
      </c>
      <c r="B23" s="11" t="s">
        <v>28</v>
      </c>
      <c r="C23" s="11" t="s">
        <v>20</v>
      </c>
      <c r="D23" s="12" t="s">
        <v>14</v>
      </c>
      <c r="E23" s="11">
        <v>4</v>
      </c>
      <c r="F23" s="11">
        <v>3000</v>
      </c>
      <c r="G23" s="11">
        <v>1004</v>
      </c>
      <c r="H23" s="11">
        <v>95.047619047619037</v>
      </c>
      <c r="I23" s="11">
        <f t="shared" si="0"/>
        <v>750</v>
      </c>
    </row>
    <row r="24" spans="1:9" x14ac:dyDescent="0.3">
      <c r="A24" s="9" t="s">
        <v>30</v>
      </c>
      <c r="B24" s="9" t="s">
        <v>28</v>
      </c>
      <c r="C24" s="9" t="s">
        <v>22</v>
      </c>
      <c r="D24" s="10" t="s">
        <v>23</v>
      </c>
      <c r="E24" s="11">
        <v>2</v>
      </c>
      <c r="F24" s="11">
        <v>398</v>
      </c>
      <c r="G24" s="11">
        <v>100</v>
      </c>
      <c r="H24" s="11">
        <v>14.190476190476204</v>
      </c>
      <c r="I24" s="11">
        <f t="shared" si="0"/>
        <v>199</v>
      </c>
    </row>
    <row r="25" spans="1:9" x14ac:dyDescent="0.3">
      <c r="A25" s="11" t="s">
        <v>30</v>
      </c>
      <c r="B25" s="11" t="s">
        <v>28</v>
      </c>
      <c r="C25" s="11" t="s">
        <v>21</v>
      </c>
      <c r="D25" s="12" t="s">
        <v>11</v>
      </c>
      <c r="E25" s="11">
        <v>2</v>
      </c>
      <c r="F25" s="11">
        <v>2400</v>
      </c>
      <c r="G25" s="11">
        <v>602</v>
      </c>
      <c r="H25" s="11">
        <v>85.619047619047706</v>
      </c>
      <c r="I25" s="11">
        <f t="shared" si="0"/>
        <v>1200</v>
      </c>
    </row>
    <row r="26" spans="1:9" x14ac:dyDescent="0.3">
      <c r="A26" s="9" t="s">
        <v>30</v>
      </c>
      <c r="B26" s="9" t="s">
        <v>28</v>
      </c>
      <c r="C26" s="9" t="s">
        <v>10</v>
      </c>
      <c r="D26" s="10" t="s">
        <v>11</v>
      </c>
      <c r="E26" s="11">
        <v>2</v>
      </c>
      <c r="F26" s="11">
        <v>670</v>
      </c>
      <c r="G26" s="11">
        <v>172</v>
      </c>
      <c r="H26" s="11">
        <v>23.714285714285722</v>
      </c>
      <c r="I26" s="11">
        <f t="shared" si="0"/>
        <v>335</v>
      </c>
    </row>
    <row r="27" spans="1:9" x14ac:dyDescent="0.3">
      <c r="A27" s="11" t="s">
        <v>30</v>
      </c>
      <c r="B27" s="11" t="s">
        <v>28</v>
      </c>
      <c r="C27" s="11" t="s">
        <v>12</v>
      </c>
      <c r="D27" s="12" t="s">
        <v>11</v>
      </c>
      <c r="E27" s="11">
        <v>4</v>
      </c>
      <c r="F27" s="11">
        <v>2400</v>
      </c>
      <c r="G27" s="11">
        <v>404</v>
      </c>
      <c r="H27" s="11">
        <v>95.047619047619037</v>
      </c>
      <c r="I27" s="11">
        <f t="shared" si="0"/>
        <v>600</v>
      </c>
    </row>
    <row r="28" spans="1:9" x14ac:dyDescent="0.3">
      <c r="A28" s="9" t="s">
        <v>30</v>
      </c>
      <c r="B28" s="9" t="s">
        <v>28</v>
      </c>
      <c r="C28" s="9" t="s">
        <v>13</v>
      </c>
      <c r="D28" s="10" t="s">
        <v>14</v>
      </c>
      <c r="E28" s="11">
        <v>4</v>
      </c>
      <c r="F28" s="11">
        <v>1500</v>
      </c>
      <c r="G28" s="11">
        <v>504</v>
      </c>
      <c r="H28" s="11">
        <v>47.428571428571445</v>
      </c>
      <c r="I28" s="11">
        <f t="shared" si="0"/>
        <v>375</v>
      </c>
    </row>
    <row r="29" spans="1:9" x14ac:dyDescent="0.3">
      <c r="A29" s="11" t="s">
        <v>30</v>
      </c>
      <c r="B29" s="11" t="s">
        <v>28</v>
      </c>
      <c r="C29" s="11" t="s">
        <v>18</v>
      </c>
      <c r="D29" s="12" t="s">
        <v>17</v>
      </c>
      <c r="E29" s="11">
        <v>2</v>
      </c>
      <c r="F29" s="11">
        <v>1150</v>
      </c>
      <c r="G29" s="11">
        <v>152</v>
      </c>
      <c r="H29" s="11">
        <v>106.92857142857156</v>
      </c>
      <c r="I29" s="11">
        <f t="shared" si="0"/>
        <v>575</v>
      </c>
    </row>
    <row r="30" spans="1:9" x14ac:dyDescent="0.3">
      <c r="A30" s="9" t="s">
        <v>30</v>
      </c>
      <c r="B30" s="9" t="s">
        <v>28</v>
      </c>
      <c r="C30" s="9" t="s">
        <v>12</v>
      </c>
      <c r="D30" s="10" t="s">
        <v>11</v>
      </c>
      <c r="E30" s="11">
        <v>12</v>
      </c>
      <c r="F30" s="11">
        <v>7200</v>
      </c>
      <c r="G30" s="11">
        <v>1212</v>
      </c>
      <c r="H30" s="11">
        <v>285.14285714285779</v>
      </c>
      <c r="I30" s="11">
        <f t="shared" si="0"/>
        <v>600</v>
      </c>
    </row>
    <row r="31" spans="1:9" x14ac:dyDescent="0.3">
      <c r="A31" s="11" t="s">
        <v>30</v>
      </c>
      <c r="B31" s="11" t="s">
        <v>28</v>
      </c>
      <c r="C31" s="11" t="s">
        <v>21</v>
      </c>
      <c r="D31" s="12" t="s">
        <v>11</v>
      </c>
      <c r="E31" s="11">
        <v>2</v>
      </c>
      <c r="F31" s="11">
        <v>2400</v>
      </c>
      <c r="G31" s="11">
        <v>602</v>
      </c>
      <c r="H31" s="11">
        <v>85.619047619047706</v>
      </c>
      <c r="I31" s="11">
        <f t="shared" si="0"/>
        <v>1200</v>
      </c>
    </row>
    <row r="32" spans="1:9" x14ac:dyDescent="0.3">
      <c r="A32" s="9" t="s">
        <v>30</v>
      </c>
      <c r="B32" s="9" t="s">
        <v>28</v>
      </c>
      <c r="C32" s="9" t="s">
        <v>22</v>
      </c>
      <c r="D32" s="10" t="s">
        <v>23</v>
      </c>
      <c r="E32" s="11">
        <v>2</v>
      </c>
      <c r="F32" s="11">
        <v>398</v>
      </c>
      <c r="G32" s="11">
        <v>100</v>
      </c>
      <c r="H32" s="11">
        <v>14.190476190476204</v>
      </c>
      <c r="I32" s="11">
        <f t="shared" si="0"/>
        <v>199</v>
      </c>
    </row>
    <row r="33" spans="1:9" x14ac:dyDescent="0.3">
      <c r="A33" s="11" t="s">
        <v>30</v>
      </c>
      <c r="B33" s="11" t="s">
        <v>28</v>
      </c>
      <c r="C33" s="11" t="s">
        <v>22</v>
      </c>
      <c r="D33" s="12" t="s">
        <v>23</v>
      </c>
      <c r="E33" s="11">
        <v>2</v>
      </c>
      <c r="F33" s="11">
        <v>398</v>
      </c>
      <c r="G33" s="11">
        <v>100</v>
      </c>
      <c r="H33" s="11">
        <v>14.190476190476204</v>
      </c>
      <c r="I33" s="11">
        <f t="shared" si="0"/>
        <v>199</v>
      </c>
    </row>
    <row r="34" spans="1:9" x14ac:dyDescent="0.3">
      <c r="A34" s="9" t="s">
        <v>30</v>
      </c>
      <c r="B34" s="9" t="s">
        <v>28</v>
      </c>
      <c r="C34" s="9" t="s">
        <v>12</v>
      </c>
      <c r="D34" s="10" t="s">
        <v>11</v>
      </c>
      <c r="E34" s="11">
        <v>2</v>
      </c>
      <c r="F34" s="11">
        <v>1200</v>
      </c>
      <c r="G34" s="11">
        <v>202</v>
      </c>
      <c r="H34" s="11">
        <v>47.523809523809518</v>
      </c>
      <c r="I34" s="11">
        <f t="shared" si="0"/>
        <v>600</v>
      </c>
    </row>
    <row r="35" spans="1:9" x14ac:dyDescent="0.3">
      <c r="A35" s="11" t="s">
        <v>30</v>
      </c>
      <c r="B35" s="11" t="s">
        <v>28</v>
      </c>
      <c r="C35" s="11" t="s">
        <v>21</v>
      </c>
      <c r="D35" s="12" t="s">
        <v>11</v>
      </c>
      <c r="E35" s="11">
        <v>2</v>
      </c>
      <c r="F35" s="11">
        <v>2400</v>
      </c>
      <c r="G35" s="11">
        <v>602</v>
      </c>
      <c r="H35" s="11">
        <v>85.619047619047706</v>
      </c>
      <c r="I35" s="11">
        <f t="shared" si="0"/>
        <v>1200</v>
      </c>
    </row>
    <row r="36" spans="1:9" x14ac:dyDescent="0.3">
      <c r="A36" s="9" t="s">
        <v>30</v>
      </c>
      <c r="B36" s="9" t="s">
        <v>28</v>
      </c>
      <c r="C36" s="9" t="s">
        <v>22</v>
      </c>
      <c r="D36" s="10" t="s">
        <v>23</v>
      </c>
      <c r="E36" s="11">
        <v>2</v>
      </c>
      <c r="F36" s="11">
        <v>398</v>
      </c>
      <c r="G36" s="11">
        <v>100</v>
      </c>
      <c r="H36" s="11">
        <v>14.190476190476204</v>
      </c>
      <c r="I36" s="11">
        <f t="shared" si="0"/>
        <v>199</v>
      </c>
    </row>
    <row r="37" spans="1:9" x14ac:dyDescent="0.3">
      <c r="A37" s="11" t="s">
        <v>30</v>
      </c>
      <c r="B37" s="11" t="s">
        <v>28</v>
      </c>
      <c r="C37" s="11" t="s">
        <v>12</v>
      </c>
      <c r="D37" s="12" t="s">
        <v>11</v>
      </c>
      <c r="E37" s="11">
        <v>2</v>
      </c>
      <c r="F37" s="11">
        <v>1200</v>
      </c>
      <c r="G37" s="11">
        <v>202</v>
      </c>
      <c r="H37" s="11">
        <v>47.523809523809518</v>
      </c>
      <c r="I37" s="11">
        <f t="shared" si="0"/>
        <v>600</v>
      </c>
    </row>
    <row r="38" spans="1:9" x14ac:dyDescent="0.3">
      <c r="A38" s="9" t="s">
        <v>30</v>
      </c>
      <c r="B38" s="9" t="s">
        <v>28</v>
      </c>
      <c r="C38" s="9" t="s">
        <v>21</v>
      </c>
      <c r="D38" s="10" t="s">
        <v>11</v>
      </c>
      <c r="E38" s="11">
        <v>2</v>
      </c>
      <c r="F38" s="11">
        <v>2400</v>
      </c>
      <c r="G38" s="11">
        <v>602</v>
      </c>
      <c r="H38" s="11">
        <v>85.619047619047706</v>
      </c>
      <c r="I38" s="11">
        <f t="shared" si="0"/>
        <v>1200</v>
      </c>
    </row>
    <row r="39" spans="1:9" x14ac:dyDescent="0.3">
      <c r="A39" s="11" t="s">
        <v>30</v>
      </c>
      <c r="B39" s="11" t="s">
        <v>28</v>
      </c>
      <c r="C39" s="11" t="s">
        <v>24</v>
      </c>
      <c r="D39" s="12" t="s">
        <v>23</v>
      </c>
      <c r="E39" s="11">
        <v>4</v>
      </c>
      <c r="F39" s="11">
        <v>1800</v>
      </c>
      <c r="G39" s="11">
        <v>404</v>
      </c>
      <c r="H39" s="11">
        <v>66.476190476190595</v>
      </c>
      <c r="I39" s="11">
        <f t="shared" si="0"/>
        <v>450</v>
      </c>
    </row>
    <row r="40" spans="1:9" x14ac:dyDescent="0.3">
      <c r="A40" s="9" t="s">
        <v>30</v>
      </c>
      <c r="B40" s="9" t="s">
        <v>28</v>
      </c>
      <c r="C40" s="9" t="s">
        <v>22</v>
      </c>
      <c r="D40" s="10" t="s">
        <v>23</v>
      </c>
      <c r="E40" s="11">
        <v>2</v>
      </c>
      <c r="F40" s="11">
        <v>398</v>
      </c>
      <c r="G40" s="11">
        <v>100</v>
      </c>
      <c r="H40" s="11">
        <v>14.190476190476204</v>
      </c>
      <c r="I40" s="11">
        <f t="shared" si="0"/>
        <v>199</v>
      </c>
    </row>
    <row r="41" spans="1:9" x14ac:dyDescent="0.3">
      <c r="A41" s="11" t="s">
        <v>30</v>
      </c>
      <c r="B41" s="11" t="s">
        <v>28</v>
      </c>
      <c r="C41" s="11" t="s">
        <v>12</v>
      </c>
      <c r="D41" s="12" t="s">
        <v>11</v>
      </c>
      <c r="E41" s="11">
        <v>2</v>
      </c>
      <c r="F41" s="11">
        <v>1200</v>
      </c>
      <c r="G41" s="11">
        <v>202</v>
      </c>
      <c r="H41" s="11">
        <v>47.523809523809518</v>
      </c>
      <c r="I41" s="11">
        <f t="shared" si="0"/>
        <v>600</v>
      </c>
    </row>
    <row r="42" spans="1:9" x14ac:dyDescent="0.3">
      <c r="A42" s="9" t="s">
        <v>30</v>
      </c>
      <c r="B42" s="9" t="s">
        <v>28</v>
      </c>
      <c r="C42" s="9" t="s">
        <v>12</v>
      </c>
      <c r="D42" s="10" t="s">
        <v>11</v>
      </c>
      <c r="E42" s="11">
        <v>2</v>
      </c>
      <c r="F42" s="11">
        <v>1200</v>
      </c>
      <c r="G42" s="11">
        <v>202</v>
      </c>
      <c r="H42" s="11">
        <v>47.523809523809518</v>
      </c>
      <c r="I42" s="11">
        <f t="shared" si="0"/>
        <v>600</v>
      </c>
    </row>
    <row r="43" spans="1:9" x14ac:dyDescent="0.3">
      <c r="A43" s="11" t="s">
        <v>30</v>
      </c>
      <c r="B43" s="11" t="s">
        <v>28</v>
      </c>
      <c r="C43" s="11" t="s">
        <v>22</v>
      </c>
      <c r="D43" s="12" t="s">
        <v>23</v>
      </c>
      <c r="E43" s="11">
        <v>2</v>
      </c>
      <c r="F43" s="11">
        <v>398</v>
      </c>
      <c r="G43" s="11">
        <v>100</v>
      </c>
      <c r="H43" s="11">
        <v>14.190476190476204</v>
      </c>
      <c r="I43" s="11">
        <f t="shared" si="0"/>
        <v>199</v>
      </c>
    </row>
    <row r="44" spans="1:9" x14ac:dyDescent="0.3">
      <c r="A44" s="9" t="s">
        <v>30</v>
      </c>
      <c r="B44" s="9" t="s">
        <v>28</v>
      </c>
      <c r="C44" s="9" t="s">
        <v>22</v>
      </c>
      <c r="D44" s="10" t="s">
        <v>23</v>
      </c>
      <c r="E44" s="11">
        <v>4</v>
      </c>
      <c r="F44" s="11">
        <v>796</v>
      </c>
      <c r="G44" s="11">
        <v>200</v>
      </c>
      <c r="H44" s="11">
        <v>28.380952380952408</v>
      </c>
      <c r="I44" s="11">
        <f t="shared" si="0"/>
        <v>199</v>
      </c>
    </row>
    <row r="45" spans="1:9" x14ac:dyDescent="0.3">
      <c r="A45" s="11" t="s">
        <v>30</v>
      </c>
      <c r="B45" s="11" t="s">
        <v>28</v>
      </c>
      <c r="C45" s="11" t="s">
        <v>22</v>
      </c>
      <c r="D45" s="12" t="s">
        <v>23</v>
      </c>
      <c r="E45" s="11">
        <v>2</v>
      </c>
      <c r="F45" s="11">
        <v>398</v>
      </c>
      <c r="G45" s="11">
        <v>100</v>
      </c>
      <c r="H45" s="11">
        <v>14.190476190476204</v>
      </c>
      <c r="I45" s="11">
        <f t="shared" si="0"/>
        <v>199</v>
      </c>
    </row>
    <row r="46" spans="1:9" x14ac:dyDescent="0.3">
      <c r="A46" s="9" t="s">
        <v>30</v>
      </c>
      <c r="B46" s="9" t="s">
        <v>28</v>
      </c>
      <c r="C46" s="9" t="s">
        <v>12</v>
      </c>
      <c r="D46" s="10" t="s">
        <v>11</v>
      </c>
      <c r="E46" s="11">
        <v>2</v>
      </c>
      <c r="F46" s="11">
        <v>1200</v>
      </c>
      <c r="G46" s="11">
        <v>202</v>
      </c>
      <c r="H46" s="11">
        <v>47.523809523809518</v>
      </c>
      <c r="I46" s="11">
        <f t="shared" si="0"/>
        <v>600</v>
      </c>
    </row>
    <row r="47" spans="1:9" x14ac:dyDescent="0.3">
      <c r="A47" s="11" t="s">
        <v>30</v>
      </c>
      <c r="B47" s="11" t="s">
        <v>28</v>
      </c>
      <c r="C47" s="11" t="s">
        <v>12</v>
      </c>
      <c r="D47" s="12" t="s">
        <v>11</v>
      </c>
      <c r="E47" s="11">
        <v>2</v>
      </c>
      <c r="F47" s="11">
        <v>1200</v>
      </c>
      <c r="G47" s="11">
        <v>202</v>
      </c>
      <c r="H47" s="11">
        <v>47.523809523809518</v>
      </c>
      <c r="I47" s="11">
        <f t="shared" si="0"/>
        <v>600</v>
      </c>
    </row>
    <row r="48" spans="1:9" x14ac:dyDescent="0.3">
      <c r="A48" s="9" t="s">
        <v>30</v>
      </c>
      <c r="B48" s="9" t="s">
        <v>28</v>
      </c>
      <c r="C48" s="9" t="s">
        <v>10</v>
      </c>
      <c r="D48" s="10" t="s">
        <v>11</v>
      </c>
      <c r="E48" s="11">
        <v>2</v>
      </c>
      <c r="F48" s="11">
        <v>670</v>
      </c>
      <c r="G48" s="11">
        <v>172</v>
      </c>
      <c r="H48" s="11">
        <v>23.714285714285722</v>
      </c>
      <c r="I48" s="11">
        <f t="shared" si="0"/>
        <v>335</v>
      </c>
    </row>
    <row r="49" spans="1:9" x14ac:dyDescent="0.3">
      <c r="A49" s="11" t="s">
        <v>30</v>
      </c>
      <c r="B49" s="11" t="s">
        <v>28</v>
      </c>
      <c r="C49" s="11" t="s">
        <v>22</v>
      </c>
      <c r="D49" s="12" t="s">
        <v>23</v>
      </c>
      <c r="E49" s="11">
        <v>4</v>
      </c>
      <c r="F49" s="11">
        <v>796</v>
      </c>
      <c r="G49" s="11">
        <v>200</v>
      </c>
      <c r="H49" s="11">
        <v>28.380952380952408</v>
      </c>
      <c r="I49" s="11">
        <f t="shared" si="0"/>
        <v>199</v>
      </c>
    </row>
    <row r="50" spans="1:9" x14ac:dyDescent="0.3">
      <c r="A50" s="9" t="s">
        <v>30</v>
      </c>
      <c r="B50" s="9" t="s">
        <v>28</v>
      </c>
      <c r="C50" s="9" t="s">
        <v>18</v>
      </c>
      <c r="D50" s="10" t="s">
        <v>17</v>
      </c>
      <c r="E50" s="11">
        <v>2</v>
      </c>
      <c r="F50" s="11">
        <v>1150</v>
      </c>
      <c r="G50" s="11">
        <v>152</v>
      </c>
      <c r="H50" s="11">
        <v>106.92857142857156</v>
      </c>
      <c r="I50" s="11">
        <f t="shared" si="0"/>
        <v>575</v>
      </c>
    </row>
    <row r="51" spans="1:9" x14ac:dyDescent="0.3">
      <c r="A51" s="11" t="s">
        <v>30</v>
      </c>
      <c r="B51" s="11" t="s">
        <v>28</v>
      </c>
      <c r="C51" s="11" t="s">
        <v>21</v>
      </c>
      <c r="D51" s="12" t="s">
        <v>11</v>
      </c>
      <c r="E51" s="11">
        <v>2</v>
      </c>
      <c r="F51" s="11">
        <v>2400</v>
      </c>
      <c r="G51" s="11">
        <v>602</v>
      </c>
      <c r="H51" s="11">
        <v>85.619047619047706</v>
      </c>
      <c r="I51" s="11">
        <f t="shared" si="0"/>
        <v>1200</v>
      </c>
    </row>
    <row r="52" spans="1:9" x14ac:dyDescent="0.3">
      <c r="A52" s="9" t="s">
        <v>30</v>
      </c>
      <c r="B52" s="9" t="s">
        <v>28</v>
      </c>
      <c r="C52" s="9" t="s">
        <v>13</v>
      </c>
      <c r="D52" s="10" t="s">
        <v>14</v>
      </c>
      <c r="E52" s="11">
        <v>2</v>
      </c>
      <c r="F52" s="11">
        <v>750</v>
      </c>
      <c r="G52" s="11">
        <v>252</v>
      </c>
      <c r="H52" s="11">
        <v>23.714285714285722</v>
      </c>
      <c r="I52" s="11">
        <f t="shared" si="0"/>
        <v>375</v>
      </c>
    </row>
    <row r="53" spans="1:9" x14ac:dyDescent="0.3">
      <c r="A53" s="11" t="s">
        <v>30</v>
      </c>
      <c r="B53" s="11" t="s">
        <v>28</v>
      </c>
      <c r="C53" s="11" t="s">
        <v>12</v>
      </c>
      <c r="D53" s="12" t="s">
        <v>11</v>
      </c>
      <c r="E53" s="11">
        <v>4</v>
      </c>
      <c r="F53" s="11">
        <v>2400</v>
      </c>
      <c r="G53" s="11">
        <v>404</v>
      </c>
      <c r="H53" s="11">
        <v>95.047619047619037</v>
      </c>
      <c r="I53" s="11">
        <f t="shared" si="0"/>
        <v>600</v>
      </c>
    </row>
    <row r="54" spans="1:9" x14ac:dyDescent="0.3">
      <c r="A54" s="9" t="s">
        <v>30</v>
      </c>
      <c r="B54" s="9" t="s">
        <v>28</v>
      </c>
      <c r="C54" s="9" t="s">
        <v>13</v>
      </c>
      <c r="D54" s="10" t="s">
        <v>14</v>
      </c>
      <c r="E54" s="11">
        <v>2</v>
      </c>
      <c r="F54" s="11">
        <v>750</v>
      </c>
      <c r="G54" s="11">
        <v>252</v>
      </c>
      <c r="H54" s="11">
        <v>23.714285714285722</v>
      </c>
      <c r="I54" s="11">
        <f t="shared" si="0"/>
        <v>375</v>
      </c>
    </row>
    <row r="55" spans="1:9" x14ac:dyDescent="0.3">
      <c r="A55" s="11" t="s">
        <v>30</v>
      </c>
      <c r="B55" s="11" t="s">
        <v>28</v>
      </c>
      <c r="C55" s="11" t="s">
        <v>22</v>
      </c>
      <c r="D55" s="12" t="s">
        <v>23</v>
      </c>
      <c r="E55" s="11">
        <v>2</v>
      </c>
      <c r="F55" s="11">
        <v>398</v>
      </c>
      <c r="G55" s="11">
        <v>100</v>
      </c>
      <c r="H55" s="11">
        <v>14.190476190476204</v>
      </c>
      <c r="I55" s="11">
        <f t="shared" si="0"/>
        <v>199</v>
      </c>
    </row>
    <row r="56" spans="1:9" x14ac:dyDescent="0.3">
      <c r="A56" s="9" t="s">
        <v>30</v>
      </c>
      <c r="B56" s="9" t="s">
        <v>28</v>
      </c>
      <c r="C56" s="9" t="s">
        <v>21</v>
      </c>
      <c r="D56" s="10" t="s">
        <v>11</v>
      </c>
      <c r="E56" s="11">
        <v>2</v>
      </c>
      <c r="F56" s="11">
        <v>2400</v>
      </c>
      <c r="G56" s="11">
        <v>602</v>
      </c>
      <c r="H56" s="11">
        <v>85.619047619047706</v>
      </c>
      <c r="I56" s="11">
        <f t="shared" si="0"/>
        <v>1200</v>
      </c>
    </row>
    <row r="57" spans="1:9" x14ac:dyDescent="0.3">
      <c r="A57" s="11" t="s">
        <v>30</v>
      </c>
      <c r="B57" s="11" t="s">
        <v>28</v>
      </c>
      <c r="C57" s="11" t="s">
        <v>24</v>
      </c>
      <c r="D57" s="12" t="s">
        <v>23</v>
      </c>
      <c r="E57" s="11">
        <v>2</v>
      </c>
      <c r="F57" s="11">
        <v>900</v>
      </c>
      <c r="G57" s="11">
        <v>202</v>
      </c>
      <c r="H57" s="11">
        <v>33.238095238095298</v>
      </c>
      <c r="I57" s="11">
        <f t="shared" si="0"/>
        <v>450</v>
      </c>
    </row>
    <row r="58" spans="1:9" x14ac:dyDescent="0.3">
      <c r="A58" s="9" t="s">
        <v>30</v>
      </c>
      <c r="B58" s="9" t="s">
        <v>28</v>
      </c>
      <c r="C58" s="9" t="s">
        <v>13</v>
      </c>
      <c r="D58" s="10" t="s">
        <v>14</v>
      </c>
      <c r="E58" s="11">
        <v>2</v>
      </c>
      <c r="F58" s="11">
        <v>750</v>
      </c>
      <c r="G58" s="11">
        <v>252</v>
      </c>
      <c r="H58" s="11">
        <v>23.714285714285722</v>
      </c>
      <c r="I58" s="11">
        <f t="shared" si="0"/>
        <v>375</v>
      </c>
    </row>
    <row r="59" spans="1:9" x14ac:dyDescent="0.3">
      <c r="A59" s="11" t="s">
        <v>30</v>
      </c>
      <c r="B59" s="11" t="s">
        <v>28</v>
      </c>
      <c r="C59" s="11" t="s">
        <v>12</v>
      </c>
      <c r="D59" s="12" t="s">
        <v>11</v>
      </c>
      <c r="E59" s="11">
        <v>2</v>
      </c>
      <c r="F59" s="11">
        <v>1200</v>
      </c>
      <c r="G59" s="11">
        <v>202</v>
      </c>
      <c r="H59" s="11">
        <v>47.523809523809518</v>
      </c>
      <c r="I59" s="11">
        <f t="shared" si="0"/>
        <v>600</v>
      </c>
    </row>
    <row r="60" spans="1:9" x14ac:dyDescent="0.3">
      <c r="A60" s="9" t="s">
        <v>30</v>
      </c>
      <c r="B60" s="9" t="s">
        <v>28</v>
      </c>
      <c r="C60" s="9" t="s">
        <v>22</v>
      </c>
      <c r="D60" s="10" t="s">
        <v>23</v>
      </c>
      <c r="E60" s="11">
        <v>2</v>
      </c>
      <c r="F60" s="11">
        <v>398</v>
      </c>
      <c r="G60" s="11">
        <v>100</v>
      </c>
      <c r="H60" s="11">
        <v>14.190476190476204</v>
      </c>
      <c r="I60" s="11">
        <f t="shared" si="0"/>
        <v>199</v>
      </c>
    </row>
    <row r="61" spans="1:9" x14ac:dyDescent="0.3">
      <c r="A61" s="11" t="s">
        <v>30</v>
      </c>
      <c r="B61" s="11" t="s">
        <v>28</v>
      </c>
      <c r="C61" s="11" t="s">
        <v>12</v>
      </c>
      <c r="D61" s="12" t="s">
        <v>11</v>
      </c>
      <c r="E61" s="11">
        <v>4</v>
      </c>
      <c r="F61" s="11">
        <v>2400</v>
      </c>
      <c r="G61" s="11">
        <v>2070</v>
      </c>
      <c r="H61" s="11">
        <v>15.714285714285722</v>
      </c>
      <c r="I61" s="11">
        <f t="shared" si="0"/>
        <v>600</v>
      </c>
    </row>
    <row r="62" spans="1:9" x14ac:dyDescent="0.3">
      <c r="A62" s="9" t="s">
        <v>30</v>
      </c>
      <c r="B62" s="9" t="s">
        <v>9</v>
      </c>
      <c r="C62" s="9" t="s">
        <v>15</v>
      </c>
      <c r="D62" s="10" t="s">
        <v>14</v>
      </c>
      <c r="E62" s="11">
        <v>2</v>
      </c>
      <c r="F62" s="11">
        <v>330</v>
      </c>
      <c r="G62" s="11">
        <v>32</v>
      </c>
      <c r="H62" s="11">
        <v>14.190476190476204</v>
      </c>
      <c r="I62" s="11">
        <f t="shared" si="0"/>
        <v>165</v>
      </c>
    </row>
    <row r="63" spans="1:9" x14ac:dyDescent="0.3">
      <c r="A63" s="11" t="s">
        <v>30</v>
      </c>
      <c r="B63" s="11" t="s">
        <v>9</v>
      </c>
      <c r="C63" s="11" t="s">
        <v>12</v>
      </c>
      <c r="D63" s="12" t="s">
        <v>11</v>
      </c>
      <c r="E63" s="11">
        <v>2</v>
      </c>
      <c r="F63" s="11">
        <v>1200</v>
      </c>
      <c r="G63" s="11">
        <v>202</v>
      </c>
      <c r="H63" s="11">
        <v>47.523809523809518</v>
      </c>
      <c r="I63" s="11">
        <f t="shared" si="0"/>
        <v>600</v>
      </c>
    </row>
    <row r="64" spans="1:9" x14ac:dyDescent="0.3">
      <c r="A64" s="9" t="s">
        <v>30</v>
      </c>
      <c r="B64" s="9" t="s">
        <v>9</v>
      </c>
      <c r="C64" s="9" t="s">
        <v>21</v>
      </c>
      <c r="D64" s="10" t="s">
        <v>11</v>
      </c>
      <c r="E64" s="11">
        <v>2</v>
      </c>
      <c r="F64" s="11">
        <v>2400</v>
      </c>
      <c r="G64" s="11">
        <v>602</v>
      </c>
      <c r="H64" s="11">
        <v>85.619047619047706</v>
      </c>
      <c r="I64" s="11">
        <f t="shared" si="0"/>
        <v>1200</v>
      </c>
    </row>
    <row r="65" spans="1:9" x14ac:dyDescent="0.3">
      <c r="A65" s="11" t="s">
        <v>30</v>
      </c>
      <c r="B65" s="11" t="s">
        <v>9</v>
      </c>
      <c r="C65" s="11" t="s">
        <v>22</v>
      </c>
      <c r="D65" s="12" t="s">
        <v>23</v>
      </c>
      <c r="E65" s="11">
        <v>4</v>
      </c>
      <c r="F65" s="11">
        <v>796</v>
      </c>
      <c r="G65" s="11">
        <v>200</v>
      </c>
      <c r="H65" s="11">
        <v>28.380952380952408</v>
      </c>
      <c r="I65" s="11">
        <f t="shared" si="0"/>
        <v>199</v>
      </c>
    </row>
    <row r="66" spans="1:9" x14ac:dyDescent="0.3">
      <c r="A66" s="9" t="s">
        <v>30</v>
      </c>
      <c r="B66" s="9" t="s">
        <v>9</v>
      </c>
      <c r="C66" s="9" t="s">
        <v>22</v>
      </c>
      <c r="D66" s="10" t="s">
        <v>23</v>
      </c>
      <c r="E66" s="11">
        <v>2</v>
      </c>
      <c r="F66" s="11">
        <v>398</v>
      </c>
      <c r="G66" s="11">
        <v>100</v>
      </c>
      <c r="H66" s="11">
        <v>14.190476190476204</v>
      </c>
      <c r="I66" s="11">
        <f t="shared" si="0"/>
        <v>199</v>
      </c>
    </row>
    <row r="67" spans="1:9" x14ac:dyDescent="0.3">
      <c r="A67" s="11" t="s">
        <v>30</v>
      </c>
      <c r="B67" s="11" t="s">
        <v>9</v>
      </c>
      <c r="C67" s="11" t="s">
        <v>21</v>
      </c>
      <c r="D67" s="12" t="s">
        <v>11</v>
      </c>
      <c r="E67" s="11">
        <v>4</v>
      </c>
      <c r="F67" s="11">
        <v>4800</v>
      </c>
      <c r="G67" s="11">
        <v>1204</v>
      </c>
      <c r="H67" s="11">
        <v>171.23809523809541</v>
      </c>
      <c r="I67" s="11">
        <f t="shared" ref="I67:I73" si="1">IFERROR((F67/E67),0)</f>
        <v>1200</v>
      </c>
    </row>
    <row r="68" spans="1:9" x14ac:dyDescent="0.3">
      <c r="A68" s="9" t="s">
        <v>30</v>
      </c>
      <c r="B68" s="9" t="s">
        <v>9</v>
      </c>
      <c r="C68" s="9" t="s">
        <v>20</v>
      </c>
      <c r="D68" s="10" t="s">
        <v>14</v>
      </c>
      <c r="E68" s="11">
        <v>2</v>
      </c>
      <c r="F68" s="11">
        <v>1500</v>
      </c>
      <c r="G68" s="11">
        <v>502</v>
      </c>
      <c r="H68" s="11">
        <v>47.523809523809518</v>
      </c>
      <c r="I68" s="11">
        <f t="shared" si="1"/>
        <v>750</v>
      </c>
    </row>
    <row r="69" spans="1:9" x14ac:dyDescent="0.3">
      <c r="A69" s="11" t="s">
        <v>30</v>
      </c>
      <c r="B69" s="11" t="s">
        <v>9</v>
      </c>
      <c r="C69" s="11" t="s">
        <v>13</v>
      </c>
      <c r="D69" s="12" t="s">
        <v>14</v>
      </c>
      <c r="E69" s="11">
        <v>2</v>
      </c>
      <c r="F69" s="11">
        <v>750</v>
      </c>
      <c r="G69" s="11">
        <v>252</v>
      </c>
      <c r="H69" s="11">
        <v>23.714285714285722</v>
      </c>
      <c r="I69" s="11">
        <f t="shared" si="1"/>
        <v>375</v>
      </c>
    </row>
    <row r="70" spans="1:9" x14ac:dyDescent="0.3">
      <c r="A70" s="9" t="s">
        <v>30</v>
      </c>
      <c r="B70" s="9" t="s">
        <v>9</v>
      </c>
      <c r="C70" s="9" t="s">
        <v>18</v>
      </c>
      <c r="D70" s="10" t="s">
        <v>17</v>
      </c>
      <c r="E70" s="11">
        <v>4</v>
      </c>
      <c r="F70" s="11">
        <v>2300</v>
      </c>
      <c r="G70" s="11">
        <v>1996</v>
      </c>
      <c r="H70" s="11">
        <v>32.571428571428612</v>
      </c>
      <c r="I70" s="11">
        <f t="shared" si="1"/>
        <v>575</v>
      </c>
    </row>
    <row r="71" spans="1:9" x14ac:dyDescent="0.3">
      <c r="A71" s="11" t="s">
        <v>30</v>
      </c>
      <c r="B71" s="11" t="s">
        <v>9</v>
      </c>
      <c r="C71" s="11" t="s">
        <v>22</v>
      </c>
      <c r="D71" s="12" t="s">
        <v>23</v>
      </c>
      <c r="E71" s="11">
        <v>2</v>
      </c>
      <c r="F71" s="11">
        <v>398</v>
      </c>
      <c r="G71" s="11">
        <v>100</v>
      </c>
      <c r="H71" s="11">
        <v>14.190476190476204</v>
      </c>
      <c r="I71" s="11">
        <f t="shared" si="1"/>
        <v>199</v>
      </c>
    </row>
    <row r="72" spans="1:9" x14ac:dyDescent="0.3">
      <c r="A72" s="9" t="s">
        <v>30</v>
      </c>
      <c r="B72" s="9" t="s">
        <v>9</v>
      </c>
      <c r="C72" s="9" t="s">
        <v>12</v>
      </c>
      <c r="D72" s="10" t="s">
        <v>11</v>
      </c>
      <c r="E72" s="11">
        <v>4</v>
      </c>
      <c r="F72" s="11">
        <v>2400</v>
      </c>
      <c r="G72" s="11">
        <v>404</v>
      </c>
      <c r="H72" s="11">
        <v>95.047619047619037</v>
      </c>
      <c r="I72" s="11">
        <f t="shared" si="1"/>
        <v>600</v>
      </c>
    </row>
    <row r="73" spans="1:9" x14ac:dyDescent="0.3">
      <c r="A73" s="11" t="s">
        <v>30</v>
      </c>
      <c r="B73" s="11" t="s">
        <v>9</v>
      </c>
      <c r="C73" s="11" t="s">
        <v>19</v>
      </c>
      <c r="D73" s="12" t="s">
        <v>17</v>
      </c>
      <c r="E73" s="11">
        <v>2</v>
      </c>
      <c r="F73" s="11">
        <v>2300</v>
      </c>
      <c r="G73" s="11">
        <v>3632</v>
      </c>
      <c r="H73" s="11">
        <v>-142.71428571428578</v>
      </c>
      <c r="I73" s="11">
        <f t="shared" si="1"/>
        <v>1150</v>
      </c>
    </row>
    <row r="74" spans="1:9" x14ac:dyDescent="0.3">
      <c r="A74" s="9"/>
      <c r="B74" s="9"/>
      <c r="C74" s="9"/>
      <c r="D74" s="10"/>
    </row>
    <row r="75" spans="1:9" x14ac:dyDescent="0.3">
      <c r="C75" s="11"/>
    </row>
    <row r="76" spans="1:9" x14ac:dyDescent="0.3">
      <c r="A76" s="9"/>
      <c r="B76" s="9"/>
      <c r="C76" s="9"/>
      <c r="D76" s="10"/>
    </row>
    <row r="77" spans="1:9" x14ac:dyDescent="0.3">
      <c r="C77" s="11"/>
    </row>
    <row r="78" spans="1:9" x14ac:dyDescent="0.3">
      <c r="A78" s="9"/>
      <c r="B78" s="9"/>
      <c r="C78" s="9"/>
      <c r="D78" s="10"/>
    </row>
    <row r="79" spans="1:9" x14ac:dyDescent="0.3">
      <c r="C79" s="11"/>
    </row>
    <row r="80" spans="1:9" x14ac:dyDescent="0.3">
      <c r="A80" s="9"/>
      <c r="B80" s="9"/>
      <c r="C80" s="9"/>
      <c r="D80" s="10"/>
    </row>
    <row r="81" spans="1:4" x14ac:dyDescent="0.3">
      <c r="C81" s="11"/>
    </row>
    <row r="82" spans="1:4" x14ac:dyDescent="0.3">
      <c r="A82" s="9"/>
      <c r="B82" s="9"/>
      <c r="C82" s="9"/>
      <c r="D82" s="10"/>
    </row>
    <row r="83" spans="1:4" x14ac:dyDescent="0.3">
      <c r="C83" s="11"/>
    </row>
    <row r="84" spans="1:4" x14ac:dyDescent="0.3">
      <c r="A84" s="9"/>
      <c r="B84" s="9"/>
      <c r="C84" s="9"/>
      <c r="D84" s="10"/>
    </row>
    <row r="85" spans="1:4" x14ac:dyDescent="0.3">
      <c r="C85" s="11"/>
    </row>
    <row r="86" spans="1:4" x14ac:dyDescent="0.3">
      <c r="A86" s="9"/>
      <c r="B86" s="9"/>
      <c r="C86" s="9"/>
      <c r="D86" s="10"/>
    </row>
    <row r="87" spans="1:4" x14ac:dyDescent="0.3">
      <c r="C87" s="11"/>
    </row>
    <row r="88" spans="1:4" x14ac:dyDescent="0.3">
      <c r="A88" s="9"/>
      <c r="B88" s="9"/>
      <c r="C88" s="9"/>
      <c r="D88" s="10"/>
    </row>
    <row r="89" spans="1:4" x14ac:dyDescent="0.3">
      <c r="C89" s="11"/>
    </row>
    <row r="90" spans="1:4" x14ac:dyDescent="0.3">
      <c r="A90" s="9"/>
      <c r="B90" s="9"/>
      <c r="C90" s="9"/>
      <c r="D90" s="10"/>
    </row>
    <row r="91" spans="1:4" x14ac:dyDescent="0.3">
      <c r="C91" s="11"/>
    </row>
    <row r="92" spans="1:4" x14ac:dyDescent="0.3">
      <c r="A92" s="9"/>
      <c r="B92" s="9"/>
      <c r="C92" s="9"/>
      <c r="D92" s="10"/>
    </row>
    <row r="93" spans="1:4" x14ac:dyDescent="0.3">
      <c r="C93" s="11"/>
    </row>
    <row r="94" spans="1:4" x14ac:dyDescent="0.3">
      <c r="A94" s="9"/>
      <c r="B94" s="9"/>
      <c r="C94" s="9"/>
      <c r="D94" s="10"/>
    </row>
    <row r="95" spans="1:4" x14ac:dyDescent="0.3">
      <c r="C95" s="11"/>
    </row>
    <row r="96" spans="1:4" x14ac:dyDescent="0.3">
      <c r="A96" s="9"/>
      <c r="B96" s="9"/>
      <c r="C96" s="9"/>
      <c r="D96" s="10"/>
    </row>
    <row r="97" spans="1:4" x14ac:dyDescent="0.3">
      <c r="C97" s="11"/>
    </row>
    <row r="98" spans="1:4" x14ac:dyDescent="0.3">
      <c r="A98" s="9"/>
      <c r="B98" s="9"/>
      <c r="C98" s="9"/>
      <c r="D98" s="10"/>
    </row>
    <row r="99" spans="1:4" x14ac:dyDescent="0.3">
      <c r="C99" s="11"/>
    </row>
    <row r="100" spans="1:4" x14ac:dyDescent="0.3">
      <c r="A100" s="9"/>
      <c r="B100" s="9"/>
      <c r="C100" s="9"/>
      <c r="D100" s="10"/>
    </row>
    <row r="101" spans="1:4" x14ac:dyDescent="0.3">
      <c r="C101" s="11"/>
    </row>
    <row r="102" spans="1:4" x14ac:dyDescent="0.3">
      <c r="A102" s="9"/>
      <c r="B102" s="9"/>
      <c r="C102" s="9"/>
      <c r="D102" s="10"/>
    </row>
    <row r="103" spans="1:4" x14ac:dyDescent="0.3">
      <c r="C103" s="11"/>
    </row>
    <row r="104" spans="1:4" x14ac:dyDescent="0.3">
      <c r="A104" s="9"/>
      <c r="B104" s="9"/>
      <c r="C104" s="9"/>
      <c r="D104" s="10"/>
    </row>
    <row r="105" spans="1:4" x14ac:dyDescent="0.3">
      <c r="C105" s="11"/>
    </row>
    <row r="106" spans="1:4" x14ac:dyDescent="0.3">
      <c r="A106" s="9"/>
      <c r="B106" s="9"/>
      <c r="C106" s="9"/>
      <c r="D106" s="10"/>
    </row>
    <row r="107" spans="1:4" x14ac:dyDescent="0.3">
      <c r="C107" s="11"/>
    </row>
    <row r="108" spans="1:4" x14ac:dyDescent="0.3">
      <c r="A108" s="9"/>
      <c r="B108" s="9"/>
      <c r="C108" s="9"/>
      <c r="D108" s="10"/>
    </row>
    <row r="109" spans="1:4" x14ac:dyDescent="0.3">
      <c r="C109" s="11"/>
    </row>
    <row r="110" spans="1:4" x14ac:dyDescent="0.3">
      <c r="A110" s="9"/>
      <c r="B110" s="9"/>
      <c r="C110" s="9"/>
      <c r="D110" s="10"/>
    </row>
    <row r="111" spans="1:4" x14ac:dyDescent="0.3">
      <c r="C111" s="11"/>
    </row>
    <row r="112" spans="1:4" x14ac:dyDescent="0.3">
      <c r="A112" s="9"/>
      <c r="B112" s="9"/>
      <c r="C112" s="9"/>
      <c r="D112" s="10"/>
    </row>
    <row r="113" spans="1:4" x14ac:dyDescent="0.3">
      <c r="C113" s="11"/>
    </row>
    <row r="114" spans="1:4" x14ac:dyDescent="0.3">
      <c r="A114" s="9"/>
      <c r="B114" s="9"/>
      <c r="C114" s="9"/>
      <c r="D114" s="10"/>
    </row>
    <row r="115" spans="1:4" x14ac:dyDescent="0.3">
      <c r="C115" s="11"/>
    </row>
    <row r="116" spans="1:4" x14ac:dyDescent="0.3">
      <c r="A116" s="9"/>
      <c r="B116" s="9"/>
      <c r="C116" s="9"/>
      <c r="D116" s="10"/>
    </row>
    <row r="117" spans="1:4" x14ac:dyDescent="0.3">
      <c r="C117" s="11"/>
    </row>
    <row r="118" spans="1:4" x14ac:dyDescent="0.3">
      <c r="A118" s="9"/>
      <c r="B118" s="9"/>
      <c r="C118" s="9"/>
      <c r="D118" s="10"/>
    </row>
    <row r="119" spans="1:4" x14ac:dyDescent="0.3">
      <c r="C119" s="11"/>
    </row>
    <row r="120" spans="1:4" x14ac:dyDescent="0.3">
      <c r="A120" s="9"/>
      <c r="B120" s="9"/>
      <c r="C120" s="9"/>
      <c r="D120" s="10"/>
    </row>
    <row r="121" spans="1:4" x14ac:dyDescent="0.3">
      <c r="C121" s="11"/>
    </row>
    <row r="122" spans="1:4" x14ac:dyDescent="0.3">
      <c r="A122" s="9"/>
      <c r="B122" s="9"/>
      <c r="C122" s="9"/>
      <c r="D122" s="10"/>
    </row>
    <row r="123" spans="1:4" x14ac:dyDescent="0.3">
      <c r="C123" s="11"/>
    </row>
    <row r="124" spans="1:4" x14ac:dyDescent="0.3">
      <c r="A124" s="9"/>
      <c r="B124" s="9"/>
      <c r="C124" s="9"/>
      <c r="D124" s="10"/>
    </row>
    <row r="125" spans="1:4" x14ac:dyDescent="0.3">
      <c r="C125" s="11"/>
    </row>
    <row r="126" spans="1:4" x14ac:dyDescent="0.3">
      <c r="A126" s="9"/>
      <c r="B126" s="9"/>
      <c r="C126" s="9"/>
      <c r="D126" s="10"/>
    </row>
    <row r="127" spans="1:4" x14ac:dyDescent="0.3">
      <c r="C127" s="11"/>
    </row>
    <row r="128" spans="1:4" x14ac:dyDescent="0.3">
      <c r="A128" s="9"/>
      <c r="B128" s="9"/>
      <c r="C128" s="9"/>
      <c r="D128" s="10"/>
    </row>
    <row r="129" spans="1:4" x14ac:dyDescent="0.3">
      <c r="C129" s="11"/>
    </row>
    <row r="130" spans="1:4" x14ac:dyDescent="0.3">
      <c r="A130" s="9"/>
      <c r="B130" s="9"/>
      <c r="C130" s="9"/>
      <c r="D130" s="10"/>
    </row>
    <row r="131" spans="1:4" x14ac:dyDescent="0.3">
      <c r="C131" s="11"/>
    </row>
    <row r="132" spans="1:4" x14ac:dyDescent="0.3">
      <c r="A132" s="9"/>
      <c r="B132" s="9"/>
      <c r="C132" s="9"/>
      <c r="D132" s="10"/>
    </row>
    <row r="133" spans="1:4" x14ac:dyDescent="0.3">
      <c r="C133" s="11"/>
    </row>
    <row r="134" spans="1:4" x14ac:dyDescent="0.3">
      <c r="A134" s="9"/>
      <c r="B134" s="9"/>
      <c r="C134" s="9"/>
      <c r="D134" s="10"/>
    </row>
    <row r="135" spans="1:4" x14ac:dyDescent="0.3">
      <c r="C135" s="11"/>
    </row>
    <row r="136" spans="1:4" x14ac:dyDescent="0.3">
      <c r="A136" s="9"/>
      <c r="B136" s="9"/>
      <c r="C136" s="9"/>
      <c r="D136" s="10"/>
    </row>
    <row r="137" spans="1:4" x14ac:dyDescent="0.3">
      <c r="C137" s="11"/>
    </row>
    <row r="138" spans="1:4" x14ac:dyDescent="0.3">
      <c r="A138" s="9"/>
      <c r="B138" s="9"/>
      <c r="C138" s="9"/>
      <c r="D138" s="10"/>
    </row>
    <row r="139" spans="1:4" x14ac:dyDescent="0.3">
      <c r="C139" s="11"/>
    </row>
    <row r="140" spans="1:4" x14ac:dyDescent="0.3">
      <c r="A140" s="9"/>
      <c r="B140" s="9"/>
      <c r="C140" s="9"/>
      <c r="D140" s="10"/>
    </row>
    <row r="141" spans="1:4" x14ac:dyDescent="0.3">
      <c r="C141" s="11"/>
    </row>
    <row r="142" spans="1:4" x14ac:dyDescent="0.3">
      <c r="A142" s="9"/>
      <c r="B142" s="9"/>
      <c r="C142" s="9"/>
      <c r="D142" s="10"/>
    </row>
    <row r="143" spans="1:4" x14ac:dyDescent="0.3">
      <c r="C143" s="11"/>
    </row>
    <row r="144" spans="1:4" x14ac:dyDescent="0.3">
      <c r="A144" s="9"/>
      <c r="B144" s="9"/>
      <c r="C144" s="9"/>
      <c r="D144" s="10"/>
    </row>
    <row r="145" spans="1:4" x14ac:dyDescent="0.3">
      <c r="C145" s="11"/>
    </row>
    <row r="146" spans="1:4" x14ac:dyDescent="0.3">
      <c r="A146" s="9"/>
      <c r="B146" s="9"/>
      <c r="C146" s="9"/>
      <c r="D146" s="10"/>
    </row>
    <row r="147" spans="1:4" x14ac:dyDescent="0.3">
      <c r="C147" s="11"/>
    </row>
    <row r="148" spans="1:4" x14ac:dyDescent="0.3">
      <c r="A148" s="9"/>
      <c r="B148" s="9"/>
      <c r="C148" s="9"/>
      <c r="D148" s="10"/>
    </row>
    <row r="149" spans="1:4" x14ac:dyDescent="0.3">
      <c r="C149" s="11"/>
    </row>
    <row r="150" spans="1:4" x14ac:dyDescent="0.3">
      <c r="A150" s="9"/>
      <c r="B150" s="9"/>
      <c r="C150" s="9"/>
      <c r="D150" s="10"/>
    </row>
    <row r="151" spans="1:4" x14ac:dyDescent="0.3">
      <c r="C151" s="11"/>
    </row>
    <row r="152" spans="1:4" x14ac:dyDescent="0.3">
      <c r="A152" s="9"/>
      <c r="B152" s="9"/>
      <c r="C152" s="9"/>
      <c r="D152" s="10"/>
    </row>
    <row r="153" spans="1:4" x14ac:dyDescent="0.3">
      <c r="C153" s="11"/>
    </row>
    <row r="154" spans="1:4" x14ac:dyDescent="0.3">
      <c r="A154" s="9"/>
      <c r="B154" s="9"/>
      <c r="C154" s="9"/>
      <c r="D154" s="10"/>
    </row>
    <row r="155" spans="1:4" x14ac:dyDescent="0.3">
      <c r="C155" s="11"/>
    </row>
    <row r="156" spans="1:4" x14ac:dyDescent="0.3">
      <c r="A156" s="9"/>
      <c r="B156" s="9"/>
      <c r="C156" s="9"/>
      <c r="D156" s="10"/>
    </row>
    <row r="157" spans="1:4" x14ac:dyDescent="0.3">
      <c r="C157" s="11"/>
    </row>
    <row r="158" spans="1:4" x14ac:dyDescent="0.3">
      <c r="A158" s="9"/>
      <c r="B158" s="9"/>
      <c r="C158" s="9"/>
      <c r="D158" s="10"/>
    </row>
    <row r="159" spans="1:4" x14ac:dyDescent="0.3">
      <c r="C159" s="11"/>
    </row>
    <row r="160" spans="1:4" x14ac:dyDescent="0.3">
      <c r="A160" s="9"/>
      <c r="B160" s="9"/>
      <c r="C160" s="9"/>
      <c r="D160" s="10"/>
    </row>
    <row r="161" spans="1:4" x14ac:dyDescent="0.3">
      <c r="C161" s="11"/>
    </row>
    <row r="162" spans="1:4" x14ac:dyDescent="0.3">
      <c r="A162" s="9"/>
      <c r="B162" s="9"/>
      <c r="C162" s="9"/>
      <c r="D162" s="10"/>
    </row>
    <row r="163" spans="1:4" x14ac:dyDescent="0.3">
      <c r="C163" s="11"/>
    </row>
    <row r="164" spans="1:4" x14ac:dyDescent="0.3">
      <c r="A164" s="9"/>
      <c r="B164" s="9"/>
      <c r="C164" s="9"/>
      <c r="D164" s="10"/>
    </row>
    <row r="165" spans="1:4" x14ac:dyDescent="0.3">
      <c r="C165" s="11"/>
    </row>
    <row r="166" spans="1:4" x14ac:dyDescent="0.3">
      <c r="A166" s="9"/>
      <c r="B166" s="9"/>
      <c r="C166" s="9"/>
      <c r="D166" s="10"/>
    </row>
    <row r="167" spans="1:4" x14ac:dyDescent="0.3">
      <c r="C167" s="11"/>
    </row>
    <row r="168" spans="1:4" x14ac:dyDescent="0.3">
      <c r="A168" s="9"/>
      <c r="B168" s="9"/>
      <c r="C168" s="9"/>
      <c r="D168" s="10"/>
    </row>
    <row r="169" spans="1:4" x14ac:dyDescent="0.3">
      <c r="C169" s="11"/>
    </row>
    <row r="170" spans="1:4" x14ac:dyDescent="0.3">
      <c r="A170" s="9"/>
      <c r="B170" s="9"/>
      <c r="C170" s="9"/>
      <c r="D170" s="10"/>
    </row>
    <row r="171" spans="1:4" x14ac:dyDescent="0.3">
      <c r="C171" s="11"/>
    </row>
    <row r="172" spans="1:4" x14ac:dyDescent="0.3">
      <c r="A172" s="9"/>
      <c r="B172" s="9"/>
      <c r="C172" s="9"/>
      <c r="D172" s="10"/>
    </row>
    <row r="173" spans="1:4" x14ac:dyDescent="0.3">
      <c r="C173" s="11"/>
    </row>
    <row r="174" spans="1:4" x14ac:dyDescent="0.3">
      <c r="A174" s="9"/>
      <c r="B174" s="9"/>
      <c r="C174" s="9"/>
      <c r="D174" s="10"/>
    </row>
    <row r="175" spans="1:4" x14ac:dyDescent="0.3">
      <c r="C175" s="11"/>
    </row>
    <row r="176" spans="1:4" x14ac:dyDescent="0.3">
      <c r="A176" s="9"/>
      <c r="B176" s="9"/>
      <c r="C176" s="9"/>
      <c r="D176" s="10"/>
    </row>
    <row r="177" spans="1:4" x14ac:dyDescent="0.3">
      <c r="C177" s="11"/>
    </row>
    <row r="178" spans="1:4" x14ac:dyDescent="0.3">
      <c r="A178" s="9"/>
      <c r="B178" s="9"/>
      <c r="C178" s="9"/>
      <c r="D178" s="10"/>
    </row>
    <row r="179" spans="1:4" x14ac:dyDescent="0.3">
      <c r="C179" s="11"/>
    </row>
    <row r="180" spans="1:4" x14ac:dyDescent="0.3">
      <c r="A180" s="9"/>
      <c r="B180" s="9"/>
      <c r="C180" s="9"/>
      <c r="D180" s="10"/>
    </row>
    <row r="181" spans="1:4" x14ac:dyDescent="0.3">
      <c r="C181" s="11"/>
    </row>
    <row r="182" spans="1:4" x14ac:dyDescent="0.3">
      <c r="A182" s="9"/>
      <c r="B182" s="9"/>
      <c r="C182" s="9"/>
      <c r="D182" s="10"/>
    </row>
    <row r="183" spans="1:4" x14ac:dyDescent="0.3">
      <c r="C183" s="11"/>
    </row>
    <row r="184" spans="1:4" x14ac:dyDescent="0.3">
      <c r="A184" s="9"/>
      <c r="B184" s="9"/>
      <c r="C184" s="9"/>
      <c r="D184" s="10"/>
    </row>
    <row r="185" spans="1:4" x14ac:dyDescent="0.3">
      <c r="C185" s="11"/>
    </row>
    <row r="186" spans="1:4" x14ac:dyDescent="0.3">
      <c r="A186" s="9"/>
      <c r="B186" s="9"/>
      <c r="C186" s="9"/>
      <c r="D186" s="10"/>
    </row>
    <row r="187" spans="1:4" x14ac:dyDescent="0.3">
      <c r="C187" s="11"/>
    </row>
    <row r="188" spans="1:4" x14ac:dyDescent="0.3">
      <c r="A188" s="9"/>
      <c r="B188" s="9"/>
      <c r="C188" s="9"/>
      <c r="D188" s="10"/>
    </row>
    <row r="189" spans="1:4" x14ac:dyDescent="0.3">
      <c r="C189" s="11"/>
    </row>
    <row r="190" spans="1:4" x14ac:dyDescent="0.3">
      <c r="A190" s="9"/>
      <c r="B190" s="9"/>
      <c r="C190" s="9"/>
      <c r="D190" s="10"/>
    </row>
    <row r="191" spans="1:4" x14ac:dyDescent="0.3">
      <c r="C191" s="11"/>
    </row>
    <row r="192" spans="1:4" x14ac:dyDescent="0.3">
      <c r="A192" s="9"/>
      <c r="B192" s="9"/>
      <c r="C192" s="9"/>
      <c r="D192" s="10"/>
    </row>
    <row r="193" spans="1:4" x14ac:dyDescent="0.3">
      <c r="C193" s="11"/>
    </row>
    <row r="194" spans="1:4" x14ac:dyDescent="0.3">
      <c r="A194" s="9"/>
      <c r="B194" s="9"/>
      <c r="C194" s="9"/>
      <c r="D194" s="10"/>
    </row>
    <row r="195" spans="1:4" x14ac:dyDescent="0.3">
      <c r="C195" s="11"/>
    </row>
    <row r="196" spans="1:4" x14ac:dyDescent="0.3">
      <c r="A196" s="9"/>
      <c r="B196" s="9"/>
      <c r="C196" s="9"/>
      <c r="D196" s="10"/>
    </row>
    <row r="197" spans="1:4" x14ac:dyDescent="0.3">
      <c r="C197" s="11"/>
    </row>
    <row r="198" spans="1:4" x14ac:dyDescent="0.3">
      <c r="A198" s="9"/>
      <c r="B198" s="9"/>
      <c r="C198" s="9"/>
      <c r="D198" s="10"/>
    </row>
    <row r="199" spans="1:4" x14ac:dyDescent="0.3">
      <c r="C199" s="11"/>
    </row>
    <row r="200" spans="1:4" x14ac:dyDescent="0.3">
      <c r="A200" s="9"/>
      <c r="B200" s="9"/>
      <c r="C200" s="9"/>
      <c r="D200" s="10"/>
    </row>
    <row r="201" spans="1:4" x14ac:dyDescent="0.3">
      <c r="C201" s="11"/>
    </row>
    <row r="202" spans="1:4" x14ac:dyDescent="0.3">
      <c r="A202" s="9"/>
      <c r="B202" s="9"/>
      <c r="C202" s="9"/>
      <c r="D202" s="10"/>
    </row>
    <row r="203" spans="1:4" x14ac:dyDescent="0.3">
      <c r="C203" s="11"/>
    </row>
    <row r="204" spans="1:4" x14ac:dyDescent="0.3">
      <c r="A204" s="9"/>
      <c r="B204" s="9"/>
      <c r="C204" s="9"/>
      <c r="D204" s="10"/>
    </row>
    <row r="205" spans="1:4" x14ac:dyDescent="0.3">
      <c r="C205" s="11"/>
    </row>
    <row r="206" spans="1:4" x14ac:dyDescent="0.3">
      <c r="A206" s="9"/>
      <c r="B206" s="9"/>
      <c r="C206" s="9"/>
      <c r="D206" s="10"/>
    </row>
    <row r="207" spans="1:4" x14ac:dyDescent="0.3">
      <c r="C207" s="11"/>
    </row>
    <row r="208" spans="1:4" x14ac:dyDescent="0.3">
      <c r="A208" s="9"/>
      <c r="B208" s="9"/>
      <c r="C208" s="9"/>
      <c r="D208" s="10"/>
    </row>
    <row r="209" spans="1:4" x14ac:dyDescent="0.3">
      <c r="C209" s="11"/>
    </row>
    <row r="210" spans="1:4" x14ac:dyDescent="0.3">
      <c r="A210" s="9"/>
      <c r="B210" s="9"/>
      <c r="C210" s="9"/>
      <c r="D210" s="10"/>
    </row>
    <row r="211" spans="1:4" x14ac:dyDescent="0.3">
      <c r="C211" s="11"/>
    </row>
    <row r="212" spans="1:4" x14ac:dyDescent="0.3">
      <c r="A212" s="9"/>
      <c r="B212" s="9"/>
      <c r="C212" s="9"/>
      <c r="D212" s="10"/>
    </row>
    <row r="213" spans="1:4" x14ac:dyDescent="0.3">
      <c r="C213" s="11"/>
    </row>
    <row r="214" spans="1:4" x14ac:dyDescent="0.3">
      <c r="A214" s="9"/>
      <c r="B214" s="9"/>
      <c r="C214" s="9"/>
      <c r="D214" s="10"/>
    </row>
    <row r="215" spans="1:4" x14ac:dyDescent="0.3">
      <c r="C215" s="11"/>
    </row>
    <row r="216" spans="1:4" x14ac:dyDescent="0.3">
      <c r="A216" s="9"/>
      <c r="B216" s="9"/>
      <c r="C216" s="9"/>
      <c r="D216" s="10"/>
    </row>
    <row r="217" spans="1:4" x14ac:dyDescent="0.3">
      <c r="C217" s="11"/>
    </row>
    <row r="218" spans="1:4" x14ac:dyDescent="0.3">
      <c r="A218" s="9"/>
      <c r="B218" s="9"/>
      <c r="C218" s="9"/>
      <c r="D218" s="10"/>
    </row>
    <row r="219" spans="1:4" x14ac:dyDescent="0.3">
      <c r="C219" s="11"/>
    </row>
    <row r="220" spans="1:4" x14ac:dyDescent="0.3">
      <c r="A220" s="9"/>
      <c r="B220" s="9"/>
      <c r="C220" s="9"/>
      <c r="D220" s="10"/>
    </row>
    <row r="221" spans="1:4" x14ac:dyDescent="0.3">
      <c r="C221" s="11"/>
    </row>
    <row r="222" spans="1:4" x14ac:dyDescent="0.3">
      <c r="A222" s="9"/>
      <c r="B222" s="9"/>
      <c r="C222" s="9"/>
      <c r="D222" s="10"/>
    </row>
    <row r="223" spans="1:4" x14ac:dyDescent="0.3">
      <c r="C223" s="11"/>
    </row>
    <row r="224" spans="1:4" x14ac:dyDescent="0.3">
      <c r="A224" s="9"/>
      <c r="B224" s="9"/>
      <c r="C224" s="9"/>
      <c r="D224" s="10"/>
    </row>
    <row r="225" spans="1:4" x14ac:dyDescent="0.3">
      <c r="C225" s="11"/>
    </row>
    <row r="226" spans="1:4" x14ac:dyDescent="0.3">
      <c r="A226" s="9"/>
      <c r="B226" s="9"/>
      <c r="C226" s="9"/>
      <c r="D226" s="10"/>
    </row>
    <row r="227" spans="1:4" x14ac:dyDescent="0.3">
      <c r="C227" s="11"/>
    </row>
    <row r="228" spans="1:4" x14ac:dyDescent="0.3">
      <c r="A228" s="9"/>
      <c r="B228" s="9"/>
      <c r="C228" s="9"/>
      <c r="D228" s="10"/>
    </row>
    <row r="229" spans="1:4" x14ac:dyDescent="0.3">
      <c r="C229" s="11"/>
    </row>
    <row r="230" spans="1:4" x14ac:dyDescent="0.3">
      <c r="A230" s="9"/>
      <c r="B230" s="9"/>
      <c r="C230" s="9"/>
      <c r="D230" s="10"/>
    </row>
    <row r="231" spans="1:4" x14ac:dyDescent="0.3">
      <c r="C231" s="11"/>
    </row>
    <row r="232" spans="1:4" x14ac:dyDescent="0.3">
      <c r="A232" s="9"/>
      <c r="B232" s="9"/>
      <c r="C232" s="9"/>
      <c r="D232" s="10"/>
    </row>
    <row r="233" spans="1:4" x14ac:dyDescent="0.3">
      <c r="C233" s="11"/>
    </row>
    <row r="234" spans="1:4" x14ac:dyDescent="0.3">
      <c r="A234" s="9"/>
      <c r="B234" s="9"/>
      <c r="C234" s="9"/>
      <c r="D234" s="10"/>
    </row>
    <row r="235" spans="1:4" x14ac:dyDescent="0.3">
      <c r="C235" s="11"/>
    </row>
    <row r="236" spans="1:4" x14ac:dyDescent="0.3">
      <c r="A236" s="9"/>
      <c r="B236" s="9"/>
      <c r="C236" s="9"/>
      <c r="D236" s="10"/>
    </row>
    <row r="237" spans="1:4" x14ac:dyDescent="0.3">
      <c r="C237" s="11"/>
    </row>
    <row r="238" spans="1:4" x14ac:dyDescent="0.3">
      <c r="A238" s="9"/>
      <c r="B238" s="9"/>
      <c r="C238" s="9"/>
      <c r="D238" s="10"/>
    </row>
    <row r="239" spans="1:4" x14ac:dyDescent="0.3">
      <c r="C239" s="11"/>
    </row>
    <row r="240" spans="1:4" x14ac:dyDescent="0.3">
      <c r="A240" s="9"/>
      <c r="B240" s="9"/>
      <c r="C240" s="9"/>
      <c r="D240" s="10"/>
    </row>
    <row r="241" spans="1:4" x14ac:dyDescent="0.3">
      <c r="C241" s="11"/>
    </row>
    <row r="242" spans="1:4" x14ac:dyDescent="0.3">
      <c r="A242" s="9"/>
      <c r="B242" s="9"/>
      <c r="C242" s="9"/>
      <c r="D242" s="10"/>
    </row>
    <row r="243" spans="1:4" x14ac:dyDescent="0.3">
      <c r="C243" s="11"/>
    </row>
    <row r="244" spans="1:4" x14ac:dyDescent="0.3">
      <c r="A244" s="9"/>
      <c r="B244" s="9"/>
      <c r="C244" s="9"/>
      <c r="D244" s="10"/>
    </row>
    <row r="245" spans="1:4" x14ac:dyDescent="0.3">
      <c r="C245" s="11"/>
    </row>
    <row r="246" spans="1:4" x14ac:dyDescent="0.3">
      <c r="A246" s="9"/>
      <c r="B246" s="9"/>
      <c r="C246" s="9"/>
      <c r="D246" s="10"/>
    </row>
    <row r="247" spans="1:4" x14ac:dyDescent="0.3">
      <c r="C247" s="11"/>
    </row>
    <row r="248" spans="1:4" x14ac:dyDescent="0.3">
      <c r="A248" s="9"/>
      <c r="B248" s="9"/>
      <c r="C248" s="9"/>
      <c r="D248" s="10"/>
    </row>
    <row r="249" spans="1:4" x14ac:dyDescent="0.3">
      <c r="C249" s="11"/>
    </row>
    <row r="250" spans="1:4" x14ac:dyDescent="0.3">
      <c r="A250" s="9"/>
      <c r="B250" s="9"/>
      <c r="C250" s="9"/>
      <c r="D250" s="10"/>
    </row>
    <row r="251" spans="1:4" x14ac:dyDescent="0.3">
      <c r="C251" s="11"/>
    </row>
    <row r="252" spans="1:4" x14ac:dyDescent="0.3">
      <c r="A252" s="9"/>
      <c r="B252" s="9"/>
      <c r="C252" s="9"/>
      <c r="D252" s="10"/>
    </row>
    <row r="253" spans="1:4" x14ac:dyDescent="0.3">
      <c r="C253" s="11"/>
    </row>
    <row r="254" spans="1:4" x14ac:dyDescent="0.3">
      <c r="A254" s="9"/>
      <c r="B254" s="9"/>
      <c r="C254" s="9"/>
      <c r="D254" s="10"/>
    </row>
    <row r="255" spans="1:4" x14ac:dyDescent="0.3">
      <c r="C255" s="11"/>
    </row>
    <row r="256" spans="1:4" x14ac:dyDescent="0.3">
      <c r="A256" s="9"/>
      <c r="B256" s="9"/>
      <c r="C256" s="9"/>
      <c r="D256" s="10"/>
    </row>
    <row r="257" spans="1:4" x14ac:dyDescent="0.3">
      <c r="C257" s="11"/>
    </row>
    <row r="258" spans="1:4" x14ac:dyDescent="0.3">
      <c r="A258" s="9"/>
      <c r="B258" s="9"/>
      <c r="C258" s="9"/>
      <c r="D258" s="10"/>
    </row>
    <row r="259" spans="1:4" x14ac:dyDescent="0.3">
      <c r="C259" s="11"/>
    </row>
    <row r="260" spans="1:4" x14ac:dyDescent="0.3">
      <c r="A260" s="9"/>
      <c r="B260" s="9"/>
      <c r="C260" s="9"/>
      <c r="D260" s="10"/>
    </row>
    <row r="261" spans="1:4" x14ac:dyDescent="0.3">
      <c r="C261" s="11"/>
    </row>
    <row r="262" spans="1:4" x14ac:dyDescent="0.3">
      <c r="A262" s="9"/>
      <c r="B262" s="9"/>
      <c r="C262" s="9"/>
      <c r="D262" s="10"/>
    </row>
    <row r="263" spans="1:4" x14ac:dyDescent="0.3">
      <c r="C263" s="11"/>
    </row>
    <row r="264" spans="1:4" x14ac:dyDescent="0.3">
      <c r="A264" s="9"/>
      <c r="B264" s="9"/>
      <c r="C264" s="9"/>
      <c r="D264" s="10"/>
    </row>
    <row r="265" spans="1:4" x14ac:dyDescent="0.3">
      <c r="C265" s="11"/>
    </row>
    <row r="266" spans="1:4" x14ac:dyDescent="0.3">
      <c r="A266" s="9"/>
      <c r="B266" s="9"/>
      <c r="C266" s="9"/>
      <c r="D266" s="10"/>
    </row>
    <row r="267" spans="1:4" x14ac:dyDescent="0.3">
      <c r="C267" s="11"/>
    </row>
    <row r="268" spans="1:4" x14ac:dyDescent="0.3">
      <c r="A268" s="9"/>
      <c r="B268" s="9"/>
      <c r="C268" s="9"/>
      <c r="D268" s="10"/>
    </row>
    <row r="269" spans="1:4" x14ac:dyDescent="0.3">
      <c r="C269" s="11"/>
    </row>
    <row r="270" spans="1:4" x14ac:dyDescent="0.3">
      <c r="A270" s="9"/>
      <c r="B270" s="9"/>
      <c r="C270" s="9"/>
      <c r="D270" s="10"/>
    </row>
    <row r="271" spans="1:4" x14ac:dyDescent="0.3">
      <c r="C271" s="11"/>
    </row>
    <row r="272" spans="1:4" x14ac:dyDescent="0.3">
      <c r="A272" s="9"/>
      <c r="B272" s="9"/>
      <c r="C272" s="9"/>
      <c r="D272" s="10"/>
    </row>
    <row r="273" spans="1:4" x14ac:dyDescent="0.3">
      <c r="C273" s="11"/>
    </row>
    <row r="274" spans="1:4" x14ac:dyDescent="0.3">
      <c r="A274" s="9"/>
      <c r="B274" s="9"/>
      <c r="C274" s="9"/>
      <c r="D274" s="10"/>
    </row>
    <row r="275" spans="1:4" x14ac:dyDescent="0.3">
      <c r="C275" s="11"/>
    </row>
    <row r="276" spans="1:4" x14ac:dyDescent="0.3">
      <c r="A276" s="9"/>
      <c r="B276" s="9"/>
      <c r="C276" s="9"/>
      <c r="D276" s="10"/>
    </row>
    <row r="277" spans="1:4" x14ac:dyDescent="0.3">
      <c r="C277" s="11"/>
    </row>
    <row r="278" spans="1:4" x14ac:dyDescent="0.3">
      <c r="A278" s="9"/>
      <c r="B278" s="9"/>
      <c r="C278" s="9"/>
      <c r="D278" s="10"/>
    </row>
    <row r="279" spans="1:4" x14ac:dyDescent="0.3">
      <c r="C279" s="11"/>
    </row>
    <row r="280" spans="1:4" x14ac:dyDescent="0.3">
      <c r="A280" s="9"/>
      <c r="B280" s="9"/>
      <c r="C280" s="9"/>
      <c r="D280" s="10"/>
    </row>
    <row r="281" spans="1:4" x14ac:dyDescent="0.3">
      <c r="C281" s="11"/>
    </row>
    <row r="282" spans="1:4" x14ac:dyDescent="0.3">
      <c r="A282" s="9"/>
      <c r="B282" s="9"/>
      <c r="C282" s="9"/>
      <c r="D282" s="10"/>
    </row>
    <row r="283" spans="1:4" x14ac:dyDescent="0.3">
      <c r="C283" s="11"/>
    </row>
    <row r="284" spans="1:4" x14ac:dyDescent="0.3">
      <c r="A284" s="9"/>
      <c r="B284" s="9"/>
      <c r="C284" s="9"/>
      <c r="D284" s="10"/>
    </row>
    <row r="285" spans="1:4" x14ac:dyDescent="0.3">
      <c r="C285" s="11"/>
    </row>
    <row r="286" spans="1:4" x14ac:dyDescent="0.3">
      <c r="A286" s="9"/>
      <c r="B286" s="9"/>
      <c r="C286" s="9"/>
      <c r="D286" s="10"/>
    </row>
    <row r="287" spans="1:4" x14ac:dyDescent="0.3">
      <c r="C287" s="11"/>
    </row>
    <row r="288" spans="1:4" x14ac:dyDescent="0.3">
      <c r="A288" s="9"/>
      <c r="B288" s="9"/>
      <c r="C288" s="9"/>
      <c r="D288" s="10"/>
    </row>
    <row r="289" spans="1:4" x14ac:dyDescent="0.3">
      <c r="C289" s="11"/>
    </row>
    <row r="290" spans="1:4" x14ac:dyDescent="0.3">
      <c r="A290" s="9"/>
      <c r="B290" s="9"/>
      <c r="C290" s="9"/>
      <c r="D290" s="10"/>
    </row>
    <row r="291" spans="1:4" x14ac:dyDescent="0.3">
      <c r="C291" s="11"/>
    </row>
    <row r="292" spans="1:4" x14ac:dyDescent="0.3">
      <c r="A292" s="9"/>
      <c r="B292" s="9"/>
      <c r="C292" s="9"/>
      <c r="D292" s="10"/>
    </row>
    <row r="293" spans="1:4" x14ac:dyDescent="0.3">
      <c r="C293" s="11"/>
    </row>
    <row r="294" spans="1:4" x14ac:dyDescent="0.3">
      <c r="A294" s="9"/>
      <c r="B294" s="9"/>
      <c r="C294" s="9"/>
      <c r="D294" s="10"/>
    </row>
    <row r="295" spans="1:4" x14ac:dyDescent="0.3">
      <c r="C295" s="11"/>
    </row>
    <row r="296" spans="1:4" x14ac:dyDescent="0.3">
      <c r="A296" s="9"/>
      <c r="B296" s="9"/>
      <c r="C296" s="9"/>
      <c r="D296" s="10"/>
    </row>
    <row r="297" spans="1:4" x14ac:dyDescent="0.3">
      <c r="C297" s="11"/>
    </row>
    <row r="298" spans="1:4" x14ac:dyDescent="0.3">
      <c r="A298" s="9"/>
      <c r="B298" s="9"/>
      <c r="C298" s="9"/>
      <c r="D298" s="10"/>
    </row>
    <row r="299" spans="1:4" x14ac:dyDescent="0.3">
      <c r="C299" s="11"/>
    </row>
    <row r="300" spans="1:4" x14ac:dyDescent="0.3">
      <c r="A300" s="9"/>
      <c r="B300" s="9"/>
      <c r="C300" s="9"/>
      <c r="D300" s="10"/>
    </row>
    <row r="301" spans="1:4" x14ac:dyDescent="0.3">
      <c r="C301" s="11"/>
    </row>
    <row r="302" spans="1:4" x14ac:dyDescent="0.3">
      <c r="A302" s="9"/>
      <c r="B302" s="9"/>
      <c r="C302" s="9"/>
      <c r="D302" s="10"/>
    </row>
    <row r="303" spans="1:4" x14ac:dyDescent="0.3">
      <c r="C303" s="11"/>
    </row>
    <row r="304" spans="1:4" x14ac:dyDescent="0.3">
      <c r="A304" s="9"/>
      <c r="B304" s="9"/>
      <c r="C304" s="9"/>
      <c r="D304" s="10"/>
    </row>
    <row r="305" spans="1:4" x14ac:dyDescent="0.3">
      <c r="C305" s="11"/>
    </row>
    <row r="306" spans="1:4" x14ac:dyDescent="0.3">
      <c r="A306" s="9"/>
      <c r="B306" s="9"/>
      <c r="C306" s="9"/>
      <c r="D306" s="10"/>
    </row>
    <row r="307" spans="1:4" x14ac:dyDescent="0.3">
      <c r="C307" s="11"/>
    </row>
    <row r="308" spans="1:4" x14ac:dyDescent="0.3">
      <c r="A308" s="9"/>
      <c r="B308" s="9"/>
      <c r="C308" s="9"/>
      <c r="D308" s="10"/>
    </row>
    <row r="309" spans="1:4" x14ac:dyDescent="0.3">
      <c r="C309" s="11"/>
    </row>
    <row r="310" spans="1:4" x14ac:dyDescent="0.3">
      <c r="A310" s="9"/>
      <c r="B310" s="9"/>
      <c r="C310" s="9"/>
      <c r="D310" s="10"/>
    </row>
    <row r="311" spans="1:4" x14ac:dyDescent="0.3">
      <c r="C311" s="11"/>
    </row>
    <row r="312" spans="1:4" x14ac:dyDescent="0.3">
      <c r="A312" s="9"/>
      <c r="B312" s="9"/>
      <c r="C312" s="9"/>
      <c r="D312" s="10"/>
    </row>
    <row r="313" spans="1:4" x14ac:dyDescent="0.3">
      <c r="C313" s="11"/>
    </row>
    <row r="314" spans="1:4" x14ac:dyDescent="0.3">
      <c r="A314" s="9"/>
      <c r="B314" s="9"/>
      <c r="C314" s="9"/>
      <c r="D314" s="10"/>
    </row>
    <row r="315" spans="1:4" x14ac:dyDescent="0.3">
      <c r="C315" s="11"/>
    </row>
    <row r="316" spans="1:4" x14ac:dyDescent="0.3">
      <c r="A316" s="9"/>
      <c r="B316" s="9"/>
      <c r="C316" s="9"/>
      <c r="D316" s="10"/>
    </row>
    <row r="317" spans="1:4" x14ac:dyDescent="0.3">
      <c r="C317" s="11"/>
    </row>
    <row r="318" spans="1:4" x14ac:dyDescent="0.3">
      <c r="A318" s="9"/>
      <c r="B318" s="9"/>
      <c r="C318" s="9"/>
      <c r="D318" s="10"/>
    </row>
    <row r="319" spans="1:4" x14ac:dyDescent="0.3">
      <c r="C319" s="11"/>
    </row>
    <row r="320" spans="1:4" x14ac:dyDescent="0.3">
      <c r="A320" s="9"/>
      <c r="B320" s="9"/>
      <c r="C320" s="9"/>
      <c r="D320" s="10"/>
    </row>
    <row r="321" spans="1:4" x14ac:dyDescent="0.3">
      <c r="C321" s="11"/>
    </row>
    <row r="322" spans="1:4" x14ac:dyDescent="0.3">
      <c r="A322" s="9"/>
      <c r="B322" s="9"/>
      <c r="C322" s="9"/>
      <c r="D322" s="10"/>
    </row>
    <row r="323" spans="1:4" x14ac:dyDescent="0.3">
      <c r="C323" s="11"/>
    </row>
    <row r="324" spans="1:4" x14ac:dyDescent="0.3">
      <c r="A324" s="9"/>
      <c r="B324" s="9"/>
      <c r="C324" s="9"/>
      <c r="D324" s="10"/>
    </row>
    <row r="325" spans="1:4" x14ac:dyDescent="0.3">
      <c r="C325" s="11"/>
    </row>
    <row r="326" spans="1:4" x14ac:dyDescent="0.3">
      <c r="A326" s="9"/>
      <c r="B326" s="9"/>
      <c r="C326" s="9"/>
      <c r="D326" s="10"/>
    </row>
    <row r="327" spans="1:4" x14ac:dyDescent="0.3">
      <c r="C327" s="11"/>
    </row>
    <row r="328" spans="1:4" x14ac:dyDescent="0.3">
      <c r="A328" s="9"/>
      <c r="B328" s="9"/>
      <c r="C328" s="9"/>
      <c r="D328" s="10"/>
    </row>
    <row r="329" spans="1:4" x14ac:dyDescent="0.3">
      <c r="C329" s="11"/>
    </row>
    <row r="330" spans="1:4" x14ac:dyDescent="0.3">
      <c r="A330" s="9"/>
      <c r="B330" s="9"/>
      <c r="C330" s="9"/>
      <c r="D330" s="10"/>
    </row>
    <row r="331" spans="1:4" x14ac:dyDescent="0.3">
      <c r="C331" s="11"/>
    </row>
    <row r="332" spans="1:4" x14ac:dyDescent="0.3">
      <c r="A332" s="9"/>
      <c r="B332" s="9"/>
      <c r="C332" s="9"/>
      <c r="D332" s="10"/>
    </row>
    <row r="333" spans="1:4" x14ac:dyDescent="0.3">
      <c r="C333" s="11"/>
    </row>
    <row r="334" spans="1:4" x14ac:dyDescent="0.3">
      <c r="A334" s="9"/>
      <c r="B334" s="9"/>
      <c r="C334" s="9"/>
      <c r="D334" s="10"/>
    </row>
    <row r="335" spans="1:4" x14ac:dyDescent="0.3">
      <c r="C335" s="11"/>
    </row>
    <row r="336" spans="1:4" x14ac:dyDescent="0.3">
      <c r="A336" s="9"/>
      <c r="B336" s="9"/>
      <c r="C336" s="9"/>
      <c r="D336" s="10"/>
    </row>
    <row r="337" spans="1:4" x14ac:dyDescent="0.3">
      <c r="C337" s="11"/>
    </row>
    <row r="338" spans="1:4" x14ac:dyDescent="0.3">
      <c r="A338" s="9"/>
      <c r="B338" s="9"/>
      <c r="C338" s="9"/>
      <c r="D338" s="10"/>
    </row>
    <row r="339" spans="1:4" x14ac:dyDescent="0.3">
      <c r="C339" s="11"/>
    </row>
    <row r="340" spans="1:4" x14ac:dyDescent="0.3">
      <c r="A340" s="9"/>
      <c r="B340" s="9"/>
      <c r="C340" s="9"/>
      <c r="D340" s="10"/>
    </row>
    <row r="341" spans="1:4" x14ac:dyDescent="0.3">
      <c r="C341" s="11"/>
    </row>
    <row r="342" spans="1:4" x14ac:dyDescent="0.3">
      <c r="A342" s="9"/>
      <c r="B342" s="9"/>
      <c r="C342" s="9"/>
      <c r="D342" s="10"/>
    </row>
    <row r="343" spans="1:4" x14ac:dyDescent="0.3">
      <c r="C343" s="11"/>
    </row>
    <row r="344" spans="1:4" x14ac:dyDescent="0.3">
      <c r="A344" s="9"/>
      <c r="B344" s="9"/>
      <c r="C344" s="9"/>
      <c r="D344" s="10"/>
    </row>
    <row r="345" spans="1:4" x14ac:dyDescent="0.3">
      <c r="C345" s="11"/>
    </row>
    <row r="346" spans="1:4" x14ac:dyDescent="0.3">
      <c r="A346" s="9"/>
      <c r="B346" s="9"/>
      <c r="C346" s="9"/>
      <c r="D346" s="10"/>
    </row>
    <row r="347" spans="1:4" x14ac:dyDescent="0.3">
      <c r="C347" s="11"/>
    </row>
    <row r="348" spans="1:4" x14ac:dyDescent="0.3">
      <c r="A348" s="9"/>
      <c r="B348" s="9"/>
      <c r="C348" s="9"/>
      <c r="D348" s="10"/>
    </row>
    <row r="349" spans="1:4" x14ac:dyDescent="0.3">
      <c r="C349" s="11"/>
    </row>
    <row r="350" spans="1:4" x14ac:dyDescent="0.3">
      <c r="A350" s="9"/>
      <c r="B350" s="9"/>
      <c r="C350" s="9"/>
      <c r="D350" s="10"/>
    </row>
    <row r="351" spans="1:4" x14ac:dyDescent="0.3">
      <c r="C351" s="11"/>
    </row>
    <row r="352" spans="1:4" x14ac:dyDescent="0.3">
      <c r="A352" s="9"/>
      <c r="B352" s="9"/>
      <c r="C352" s="9"/>
      <c r="D352" s="10"/>
    </row>
    <row r="353" spans="1:4" x14ac:dyDescent="0.3">
      <c r="C353" s="11"/>
    </row>
    <row r="354" spans="1:4" x14ac:dyDescent="0.3">
      <c r="A354" s="9"/>
      <c r="B354" s="9"/>
      <c r="C354" s="9"/>
      <c r="D354" s="10"/>
    </row>
    <row r="355" spans="1:4" x14ac:dyDescent="0.3">
      <c r="C355" s="11"/>
    </row>
    <row r="356" spans="1:4" x14ac:dyDescent="0.3">
      <c r="A356" s="9"/>
      <c r="B356" s="9"/>
      <c r="C356" s="9"/>
      <c r="D356" s="10"/>
    </row>
    <row r="357" spans="1:4" x14ac:dyDescent="0.3">
      <c r="C357" s="11"/>
    </row>
    <row r="358" spans="1:4" x14ac:dyDescent="0.3">
      <c r="A358" s="9"/>
      <c r="B358" s="9"/>
      <c r="C358" s="9"/>
      <c r="D358" s="10"/>
    </row>
    <row r="359" spans="1:4" x14ac:dyDescent="0.3">
      <c r="C359" s="11"/>
    </row>
    <row r="360" spans="1:4" x14ac:dyDescent="0.3">
      <c r="A360" s="9"/>
      <c r="B360" s="9"/>
      <c r="C360" s="9"/>
      <c r="D360" s="10"/>
    </row>
    <row r="361" spans="1:4" x14ac:dyDescent="0.3">
      <c r="C361" s="11"/>
    </row>
    <row r="362" spans="1:4" x14ac:dyDescent="0.3">
      <c r="A362" s="9"/>
      <c r="B362" s="9"/>
      <c r="C362" s="9"/>
      <c r="D362" s="10"/>
    </row>
    <row r="363" spans="1:4" x14ac:dyDescent="0.3">
      <c r="C363" s="11"/>
    </row>
    <row r="364" spans="1:4" x14ac:dyDescent="0.3">
      <c r="A364" s="9"/>
      <c r="B364" s="9"/>
      <c r="C364" s="9"/>
      <c r="D364" s="10"/>
    </row>
    <row r="365" spans="1:4" x14ac:dyDescent="0.3">
      <c r="C365" s="11"/>
    </row>
    <row r="366" spans="1:4" x14ac:dyDescent="0.3">
      <c r="A366" s="9"/>
      <c r="B366" s="9"/>
      <c r="C366" s="9"/>
      <c r="D366" s="10"/>
    </row>
    <row r="367" spans="1:4" x14ac:dyDescent="0.3">
      <c r="C367" s="11"/>
    </row>
    <row r="368" spans="1:4" x14ac:dyDescent="0.3">
      <c r="A368" s="9"/>
      <c r="B368" s="9"/>
      <c r="C368" s="9"/>
      <c r="D368" s="10"/>
    </row>
    <row r="369" spans="1:4" x14ac:dyDescent="0.3">
      <c r="C369" s="11"/>
    </row>
    <row r="370" spans="1:4" x14ac:dyDescent="0.3">
      <c r="A370" s="9"/>
      <c r="B370" s="9"/>
      <c r="C370" s="9"/>
      <c r="D370" s="10"/>
    </row>
    <row r="371" spans="1:4" x14ac:dyDescent="0.3">
      <c r="C371" s="1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CD9DC-2948-4B4B-B336-1C022090360B}">
  <dimension ref="A1:M371"/>
  <sheetViews>
    <sheetView workbookViewId="0">
      <selection activeCell="K4" sqref="K4"/>
    </sheetView>
  </sheetViews>
  <sheetFormatPr defaultColWidth="8.88671875" defaultRowHeight="14.4" x14ac:dyDescent="0.3"/>
  <cols>
    <col min="1" max="1" width="10.109375" style="11" bestFit="1" customWidth="1"/>
    <col min="2" max="2" width="8.5546875" style="11" bestFit="1" customWidth="1"/>
    <col min="3" max="3" width="15.33203125" style="12" bestFit="1" customWidth="1"/>
    <col min="4" max="4" width="11.33203125" style="12" bestFit="1" customWidth="1"/>
    <col min="5" max="5" width="7.6640625" style="11" bestFit="1" customWidth="1"/>
    <col min="6" max="6" width="12.33203125" style="11" bestFit="1" customWidth="1"/>
    <col min="7" max="7" width="14.77734375" style="11" bestFit="1" customWidth="1"/>
    <col min="8" max="8" width="12" style="11" bestFit="1" customWidth="1"/>
    <col min="9" max="9" width="7.88671875" style="11" bestFit="1" customWidth="1"/>
    <col min="10" max="12" width="8.88671875" style="11"/>
    <col min="13" max="13" width="11.33203125" style="11" bestFit="1" customWidth="1"/>
    <col min="14" max="16384" width="8.88671875" style="11"/>
  </cols>
  <sheetData>
    <row r="1" spans="1:13" s="5" customFormat="1" x14ac:dyDescent="0.3">
      <c r="A1" s="1" t="s">
        <v>0</v>
      </c>
      <c r="B1" s="2" t="s">
        <v>1</v>
      </c>
      <c r="C1" s="3" t="s">
        <v>2</v>
      </c>
      <c r="D1" s="3" t="s">
        <v>3</v>
      </c>
      <c r="E1" s="3" t="s">
        <v>4</v>
      </c>
      <c r="F1" s="3" t="s">
        <v>5</v>
      </c>
      <c r="G1" s="3" t="s">
        <v>34</v>
      </c>
      <c r="H1" s="4" t="s">
        <v>6</v>
      </c>
      <c r="I1" s="3" t="s">
        <v>33</v>
      </c>
      <c r="J1" s="6"/>
      <c r="K1" s="7"/>
      <c r="M1" s="8"/>
    </row>
    <row r="2" spans="1:13" x14ac:dyDescent="0.3">
      <c r="A2" s="9" t="s">
        <v>31</v>
      </c>
      <c r="B2" s="9" t="s">
        <v>28</v>
      </c>
      <c r="C2" s="9" t="s">
        <v>16</v>
      </c>
      <c r="D2" s="10" t="s">
        <v>17</v>
      </c>
      <c r="E2" s="11">
        <v>174</v>
      </c>
      <c r="F2" s="11">
        <v>52026</v>
      </c>
      <c r="G2" s="11">
        <v>2601.3000000000002</v>
      </c>
      <c r="H2" s="11">
        <v>3065.817857142858</v>
      </c>
      <c r="I2" s="11">
        <f>IFERROR((F2/E2),0)</f>
        <v>299</v>
      </c>
    </row>
    <row r="3" spans="1:13" x14ac:dyDescent="0.3">
      <c r="A3" s="11" t="s">
        <v>31</v>
      </c>
      <c r="B3" s="11" t="s">
        <v>28</v>
      </c>
      <c r="C3" s="11" t="s">
        <v>10</v>
      </c>
      <c r="D3" s="12" t="s">
        <v>11</v>
      </c>
      <c r="E3" s="11">
        <v>376</v>
      </c>
      <c r="F3" s="11">
        <v>125960</v>
      </c>
      <c r="G3" s="11">
        <v>6298</v>
      </c>
      <c r="H3" s="11">
        <v>6612.9000000000087</v>
      </c>
      <c r="I3" s="11">
        <f t="shared" ref="I3:I66" si="0">IFERROR((F3/E3),0)</f>
        <v>335</v>
      </c>
    </row>
    <row r="4" spans="1:13" x14ac:dyDescent="0.3">
      <c r="A4" s="9" t="s">
        <v>31</v>
      </c>
      <c r="B4" s="9" t="s">
        <v>28</v>
      </c>
      <c r="C4" s="9" t="s">
        <v>16</v>
      </c>
      <c r="D4" s="10" t="s">
        <v>17</v>
      </c>
      <c r="E4" s="11">
        <v>210</v>
      </c>
      <c r="F4" s="11">
        <v>62790</v>
      </c>
      <c r="G4" s="11">
        <v>3139.5</v>
      </c>
      <c r="H4" s="11">
        <v>3700.1250000000036</v>
      </c>
      <c r="I4" s="11">
        <f t="shared" si="0"/>
        <v>299</v>
      </c>
    </row>
    <row r="5" spans="1:13" x14ac:dyDescent="0.3">
      <c r="A5" s="11" t="s">
        <v>31</v>
      </c>
      <c r="B5" s="11" t="s">
        <v>28</v>
      </c>
      <c r="C5" s="11" t="s">
        <v>10</v>
      </c>
      <c r="D5" s="12" t="s">
        <v>11</v>
      </c>
      <c r="E5" s="11">
        <v>266</v>
      </c>
      <c r="F5" s="11">
        <v>89110</v>
      </c>
      <c r="G5" s="11">
        <v>4455.5</v>
      </c>
      <c r="H5" s="11">
        <v>4678.2750000000015</v>
      </c>
      <c r="I5" s="11">
        <f t="shared" si="0"/>
        <v>335</v>
      </c>
    </row>
    <row r="6" spans="1:13" x14ac:dyDescent="0.3">
      <c r="A6" s="9" t="s">
        <v>31</v>
      </c>
      <c r="B6" s="9" t="s">
        <v>28</v>
      </c>
      <c r="C6" s="9" t="s">
        <v>16</v>
      </c>
      <c r="D6" s="10" t="s">
        <v>17</v>
      </c>
      <c r="E6" s="11">
        <v>126</v>
      </c>
      <c r="F6" s="11">
        <v>37674</v>
      </c>
      <c r="G6" s="11">
        <v>1883.7</v>
      </c>
      <c r="H6" s="11">
        <v>2220.0750000000007</v>
      </c>
      <c r="I6" s="11">
        <f t="shared" si="0"/>
        <v>299</v>
      </c>
    </row>
    <row r="7" spans="1:13" x14ac:dyDescent="0.3">
      <c r="A7" s="11" t="s">
        <v>31</v>
      </c>
      <c r="B7" s="11" t="s">
        <v>28</v>
      </c>
      <c r="C7" s="11" t="s">
        <v>10</v>
      </c>
      <c r="D7" s="12" t="s">
        <v>11</v>
      </c>
      <c r="E7" s="11">
        <v>202</v>
      </c>
      <c r="F7" s="11">
        <v>67670</v>
      </c>
      <c r="G7" s="11">
        <v>3383.5</v>
      </c>
      <c r="H7" s="11">
        <v>3552.6750000000029</v>
      </c>
      <c r="I7" s="11">
        <f t="shared" si="0"/>
        <v>335</v>
      </c>
    </row>
    <row r="8" spans="1:13" x14ac:dyDescent="0.3">
      <c r="A8" s="9" t="s">
        <v>31</v>
      </c>
      <c r="B8" s="9" t="s">
        <v>28</v>
      </c>
      <c r="C8" s="9" t="s">
        <v>16</v>
      </c>
      <c r="D8" s="10" t="s">
        <v>17</v>
      </c>
      <c r="E8" s="11">
        <v>124</v>
      </c>
      <c r="F8" s="11">
        <v>37076</v>
      </c>
      <c r="G8" s="11">
        <v>1853.8000000000002</v>
      </c>
      <c r="H8" s="11">
        <v>2184.8357142857167</v>
      </c>
      <c r="I8" s="11">
        <f t="shared" si="0"/>
        <v>299</v>
      </c>
    </row>
    <row r="9" spans="1:13" x14ac:dyDescent="0.3">
      <c r="A9" s="11" t="s">
        <v>31</v>
      </c>
      <c r="B9" s="11" t="s">
        <v>28</v>
      </c>
      <c r="C9" s="11" t="s">
        <v>10</v>
      </c>
      <c r="D9" s="12" t="s">
        <v>11</v>
      </c>
      <c r="E9" s="11">
        <v>222</v>
      </c>
      <c r="F9" s="11">
        <v>74370</v>
      </c>
      <c r="G9" s="11">
        <v>3718.5</v>
      </c>
      <c r="H9" s="11">
        <v>3904.4250000000029</v>
      </c>
      <c r="I9" s="11">
        <f t="shared" si="0"/>
        <v>335</v>
      </c>
    </row>
    <row r="10" spans="1:13" x14ac:dyDescent="0.3">
      <c r="A10" s="9" t="s">
        <v>31</v>
      </c>
      <c r="B10" s="9" t="s">
        <v>28</v>
      </c>
      <c r="C10" s="9" t="s">
        <v>16</v>
      </c>
      <c r="D10" s="10" t="s">
        <v>17</v>
      </c>
      <c r="E10" s="11">
        <v>142</v>
      </c>
      <c r="F10" s="11">
        <v>42458</v>
      </c>
      <c r="G10" s="11">
        <v>2122.9</v>
      </c>
      <c r="H10" s="11">
        <v>2501.9892857142877</v>
      </c>
      <c r="I10" s="11">
        <f t="shared" si="0"/>
        <v>299</v>
      </c>
    </row>
    <row r="11" spans="1:13" x14ac:dyDescent="0.3">
      <c r="A11" s="11" t="s">
        <v>31</v>
      </c>
      <c r="B11" s="11" t="s">
        <v>28</v>
      </c>
      <c r="C11" s="11" t="s">
        <v>10</v>
      </c>
      <c r="D11" s="12" t="s">
        <v>11</v>
      </c>
      <c r="E11" s="11">
        <v>180</v>
      </c>
      <c r="F11" s="11">
        <v>60300</v>
      </c>
      <c r="G11" s="11">
        <v>3015</v>
      </c>
      <c r="H11" s="11">
        <v>3165.7500000000036</v>
      </c>
      <c r="I11" s="11">
        <f t="shared" si="0"/>
        <v>335</v>
      </c>
    </row>
    <row r="12" spans="1:13" x14ac:dyDescent="0.3">
      <c r="A12" s="9" t="s">
        <v>31</v>
      </c>
      <c r="B12" s="9" t="s">
        <v>28</v>
      </c>
      <c r="C12" s="9" t="s">
        <v>16</v>
      </c>
      <c r="D12" s="10" t="s">
        <v>17</v>
      </c>
      <c r="E12" s="11">
        <v>146</v>
      </c>
      <c r="F12" s="11">
        <v>43654</v>
      </c>
      <c r="G12" s="11">
        <v>2182.7000000000003</v>
      </c>
      <c r="H12" s="11">
        <v>2572.4678571428594</v>
      </c>
      <c r="I12" s="11">
        <f t="shared" si="0"/>
        <v>299</v>
      </c>
    </row>
    <row r="13" spans="1:13" x14ac:dyDescent="0.3">
      <c r="A13" s="11" t="s">
        <v>31</v>
      </c>
      <c r="B13" s="11" t="s">
        <v>28</v>
      </c>
      <c r="C13" s="11" t="s">
        <v>10</v>
      </c>
      <c r="D13" s="12" t="s">
        <v>11</v>
      </c>
      <c r="E13" s="11">
        <v>236</v>
      </c>
      <c r="F13" s="11">
        <v>79060</v>
      </c>
      <c r="G13" s="11">
        <v>3953</v>
      </c>
      <c r="H13" s="11">
        <v>4150.6500000000015</v>
      </c>
      <c r="I13" s="11">
        <f t="shared" si="0"/>
        <v>335</v>
      </c>
    </row>
    <row r="14" spans="1:13" x14ac:dyDescent="0.3">
      <c r="A14" s="9" t="s">
        <v>31</v>
      </c>
      <c r="B14" s="9" t="s">
        <v>28</v>
      </c>
      <c r="C14" s="9" t="s">
        <v>16</v>
      </c>
      <c r="D14" s="10" t="s">
        <v>17</v>
      </c>
      <c r="E14" s="11">
        <v>194</v>
      </c>
      <c r="F14" s="11">
        <v>58006</v>
      </c>
      <c r="G14" s="11">
        <v>2900.3</v>
      </c>
      <c r="H14" s="11">
        <v>3418.2107142857167</v>
      </c>
      <c r="I14" s="11">
        <f t="shared" si="0"/>
        <v>299</v>
      </c>
    </row>
    <row r="15" spans="1:13" x14ac:dyDescent="0.3">
      <c r="A15" s="11" t="s">
        <v>31</v>
      </c>
      <c r="B15" s="11" t="s">
        <v>28</v>
      </c>
      <c r="C15" s="11" t="s">
        <v>10</v>
      </c>
      <c r="D15" s="12" t="s">
        <v>11</v>
      </c>
      <c r="E15" s="11">
        <v>350</v>
      </c>
      <c r="F15" s="11">
        <v>117250</v>
      </c>
      <c r="G15" s="11">
        <v>5862.5</v>
      </c>
      <c r="H15" s="11">
        <v>6155.6250000000073</v>
      </c>
      <c r="I15" s="11">
        <f t="shared" si="0"/>
        <v>335</v>
      </c>
    </row>
    <row r="16" spans="1:13" x14ac:dyDescent="0.3">
      <c r="A16" s="9" t="s">
        <v>31</v>
      </c>
      <c r="B16" s="9" t="s">
        <v>28</v>
      </c>
      <c r="C16" s="9" t="s">
        <v>16</v>
      </c>
      <c r="D16" s="10" t="s">
        <v>17</v>
      </c>
      <c r="E16" s="11">
        <v>144</v>
      </c>
      <c r="F16" s="11">
        <v>43056</v>
      </c>
      <c r="G16" s="11">
        <v>2152.8000000000002</v>
      </c>
      <c r="H16" s="11">
        <v>2537.2285714285717</v>
      </c>
      <c r="I16" s="11">
        <f t="shared" si="0"/>
        <v>299</v>
      </c>
    </row>
    <row r="17" spans="1:9" x14ac:dyDescent="0.3">
      <c r="A17" s="11" t="s">
        <v>31</v>
      </c>
      <c r="B17" s="11" t="s">
        <v>28</v>
      </c>
      <c r="C17" s="11" t="s">
        <v>10</v>
      </c>
      <c r="D17" s="12" t="s">
        <v>11</v>
      </c>
      <c r="E17" s="11">
        <v>216</v>
      </c>
      <c r="F17" s="11">
        <v>72360</v>
      </c>
      <c r="G17" s="11">
        <v>3618</v>
      </c>
      <c r="H17" s="11">
        <v>3798.9000000000015</v>
      </c>
      <c r="I17" s="11">
        <f t="shared" si="0"/>
        <v>335</v>
      </c>
    </row>
    <row r="18" spans="1:9" x14ac:dyDescent="0.3">
      <c r="A18" s="9" t="s">
        <v>31</v>
      </c>
      <c r="B18" s="9" t="s">
        <v>28</v>
      </c>
      <c r="C18" s="9" t="s">
        <v>16</v>
      </c>
      <c r="D18" s="10" t="s">
        <v>17</v>
      </c>
      <c r="E18" s="11">
        <v>106</v>
      </c>
      <c r="F18" s="11">
        <v>31694</v>
      </c>
      <c r="G18" s="11">
        <v>1584.7</v>
      </c>
      <c r="H18" s="11">
        <v>1867.6821428571438</v>
      </c>
      <c r="I18" s="11">
        <f t="shared" si="0"/>
        <v>299</v>
      </c>
    </row>
    <row r="19" spans="1:9" x14ac:dyDescent="0.3">
      <c r="A19" s="11" t="s">
        <v>31</v>
      </c>
      <c r="B19" s="11" t="s">
        <v>28</v>
      </c>
      <c r="C19" s="11" t="s">
        <v>10</v>
      </c>
      <c r="D19" s="12" t="s">
        <v>11</v>
      </c>
      <c r="E19" s="11">
        <v>192</v>
      </c>
      <c r="F19" s="11">
        <v>64320</v>
      </c>
      <c r="G19" s="11">
        <v>3216</v>
      </c>
      <c r="H19" s="11">
        <v>3376.8000000000029</v>
      </c>
      <c r="I19" s="11">
        <f t="shared" si="0"/>
        <v>335</v>
      </c>
    </row>
    <row r="20" spans="1:9" x14ac:dyDescent="0.3">
      <c r="A20" s="9" t="s">
        <v>31</v>
      </c>
      <c r="B20" s="9" t="s">
        <v>28</v>
      </c>
      <c r="C20" s="9" t="s">
        <v>16</v>
      </c>
      <c r="D20" s="10" t="s">
        <v>17</v>
      </c>
      <c r="E20" s="11">
        <v>136</v>
      </c>
      <c r="F20" s="11">
        <v>40664</v>
      </c>
      <c r="G20" s="11">
        <v>2033.2</v>
      </c>
      <c r="H20" s="11">
        <v>2396.2714285714319</v>
      </c>
      <c r="I20" s="11">
        <f t="shared" si="0"/>
        <v>299</v>
      </c>
    </row>
    <row r="21" spans="1:9" x14ac:dyDescent="0.3">
      <c r="A21" s="11" t="s">
        <v>31</v>
      </c>
      <c r="B21" s="11" t="s">
        <v>28</v>
      </c>
      <c r="C21" s="11" t="s">
        <v>10</v>
      </c>
      <c r="D21" s="12" t="s">
        <v>11</v>
      </c>
      <c r="E21" s="11">
        <v>222</v>
      </c>
      <c r="F21" s="11">
        <v>74370</v>
      </c>
      <c r="G21" s="11">
        <v>3718.5</v>
      </c>
      <c r="H21" s="11">
        <v>3904.4250000000029</v>
      </c>
      <c r="I21" s="11">
        <f t="shared" si="0"/>
        <v>335</v>
      </c>
    </row>
    <row r="22" spans="1:9" x14ac:dyDescent="0.3">
      <c r="A22" s="9" t="s">
        <v>31</v>
      </c>
      <c r="B22" s="9" t="s">
        <v>28</v>
      </c>
      <c r="C22" s="9" t="s">
        <v>16</v>
      </c>
      <c r="D22" s="10" t="s">
        <v>17</v>
      </c>
      <c r="E22" s="11">
        <v>146</v>
      </c>
      <c r="F22" s="11">
        <v>43654</v>
      </c>
      <c r="G22" s="11">
        <v>2182.7000000000003</v>
      </c>
      <c r="H22" s="11">
        <v>2572.4678571428594</v>
      </c>
      <c r="I22" s="11">
        <f t="shared" si="0"/>
        <v>299</v>
      </c>
    </row>
    <row r="23" spans="1:9" x14ac:dyDescent="0.3">
      <c r="A23" s="11" t="s">
        <v>31</v>
      </c>
      <c r="B23" s="11" t="s">
        <v>28</v>
      </c>
      <c r="C23" s="11" t="s">
        <v>10</v>
      </c>
      <c r="D23" s="12" t="s">
        <v>11</v>
      </c>
      <c r="E23" s="11">
        <v>264</v>
      </c>
      <c r="F23" s="11">
        <v>88440</v>
      </c>
      <c r="G23" s="11">
        <v>4422</v>
      </c>
      <c r="H23" s="11">
        <v>4643.1000000000058</v>
      </c>
      <c r="I23" s="11">
        <f t="shared" si="0"/>
        <v>335</v>
      </c>
    </row>
    <row r="24" spans="1:9" x14ac:dyDescent="0.3">
      <c r="A24" s="9" t="s">
        <v>31</v>
      </c>
      <c r="B24" s="9" t="s">
        <v>28</v>
      </c>
      <c r="C24" s="9" t="s">
        <v>16</v>
      </c>
      <c r="D24" s="10" t="s">
        <v>17</v>
      </c>
      <c r="E24" s="11">
        <v>148</v>
      </c>
      <c r="F24" s="11">
        <v>44252</v>
      </c>
      <c r="G24" s="11">
        <v>2212.6</v>
      </c>
      <c r="H24" s="11">
        <v>2607.7071428571435</v>
      </c>
      <c r="I24" s="11">
        <f t="shared" si="0"/>
        <v>299</v>
      </c>
    </row>
    <row r="25" spans="1:9" x14ac:dyDescent="0.3">
      <c r="A25" s="11" t="s">
        <v>31</v>
      </c>
      <c r="B25" s="11" t="s">
        <v>28</v>
      </c>
      <c r="C25" s="11" t="s">
        <v>10</v>
      </c>
      <c r="D25" s="12" t="s">
        <v>11</v>
      </c>
      <c r="E25" s="11">
        <v>238</v>
      </c>
      <c r="F25" s="11">
        <v>79730</v>
      </c>
      <c r="G25" s="11">
        <v>3986.5</v>
      </c>
      <c r="H25" s="11">
        <v>4185.8250000000044</v>
      </c>
      <c r="I25" s="11">
        <f t="shared" si="0"/>
        <v>335</v>
      </c>
    </row>
    <row r="26" spans="1:9" x14ac:dyDescent="0.3">
      <c r="A26" s="9" t="s">
        <v>31</v>
      </c>
      <c r="B26" s="9" t="s">
        <v>28</v>
      </c>
      <c r="C26" s="9" t="s">
        <v>16</v>
      </c>
      <c r="D26" s="10" t="s">
        <v>17</v>
      </c>
      <c r="E26" s="11">
        <v>104</v>
      </c>
      <c r="F26" s="11">
        <v>31096</v>
      </c>
      <c r="G26" s="11">
        <v>1554.8000000000002</v>
      </c>
      <c r="H26" s="11">
        <v>1832.442857142858</v>
      </c>
      <c r="I26" s="11">
        <f t="shared" si="0"/>
        <v>299</v>
      </c>
    </row>
    <row r="27" spans="1:9" x14ac:dyDescent="0.3">
      <c r="A27" s="11" t="s">
        <v>31</v>
      </c>
      <c r="B27" s="11" t="s">
        <v>28</v>
      </c>
      <c r="C27" s="11" t="s">
        <v>10</v>
      </c>
      <c r="D27" s="12" t="s">
        <v>11</v>
      </c>
      <c r="E27" s="11">
        <v>194</v>
      </c>
      <c r="F27" s="11">
        <v>64990</v>
      </c>
      <c r="G27" s="11">
        <v>3249.5</v>
      </c>
      <c r="H27" s="11">
        <v>3411.9750000000022</v>
      </c>
      <c r="I27" s="11">
        <f t="shared" si="0"/>
        <v>335</v>
      </c>
    </row>
    <row r="28" spans="1:9" x14ac:dyDescent="0.3">
      <c r="A28" s="9" t="s">
        <v>31</v>
      </c>
      <c r="B28" s="9" t="s">
        <v>28</v>
      </c>
      <c r="C28" s="9" t="s">
        <v>16</v>
      </c>
      <c r="D28" s="10" t="s">
        <v>17</v>
      </c>
      <c r="E28" s="11">
        <v>126</v>
      </c>
      <c r="F28" s="11">
        <v>37674</v>
      </c>
      <c r="G28" s="11">
        <v>1883.7</v>
      </c>
      <c r="H28" s="11">
        <v>2220.0750000000007</v>
      </c>
      <c r="I28" s="11">
        <f t="shared" si="0"/>
        <v>299</v>
      </c>
    </row>
    <row r="29" spans="1:9" x14ac:dyDescent="0.3">
      <c r="A29" s="11" t="s">
        <v>31</v>
      </c>
      <c r="B29" s="11" t="s">
        <v>28</v>
      </c>
      <c r="C29" s="11" t="s">
        <v>10</v>
      </c>
      <c r="D29" s="12" t="s">
        <v>11</v>
      </c>
      <c r="E29" s="11">
        <v>232</v>
      </c>
      <c r="F29" s="11">
        <v>77720</v>
      </c>
      <c r="G29" s="11">
        <v>3886</v>
      </c>
      <c r="H29" s="11">
        <v>4080.3000000000029</v>
      </c>
      <c r="I29" s="11">
        <f t="shared" si="0"/>
        <v>335</v>
      </c>
    </row>
    <row r="30" spans="1:9" x14ac:dyDescent="0.3">
      <c r="A30" s="9" t="s">
        <v>31</v>
      </c>
      <c r="B30" s="9" t="s">
        <v>28</v>
      </c>
      <c r="C30" s="9" t="s">
        <v>16</v>
      </c>
      <c r="D30" s="10" t="s">
        <v>17</v>
      </c>
      <c r="E30" s="11">
        <v>94</v>
      </c>
      <c r="F30" s="11">
        <v>28106</v>
      </c>
      <c r="G30" s="11">
        <v>1405.3000000000002</v>
      </c>
      <c r="H30" s="11">
        <v>1656.2464285714304</v>
      </c>
      <c r="I30" s="11">
        <f t="shared" si="0"/>
        <v>299</v>
      </c>
    </row>
    <row r="31" spans="1:9" x14ac:dyDescent="0.3">
      <c r="A31" s="11" t="s">
        <v>31</v>
      </c>
      <c r="B31" s="11" t="s">
        <v>28</v>
      </c>
      <c r="C31" s="11" t="s">
        <v>10</v>
      </c>
      <c r="D31" s="12" t="s">
        <v>11</v>
      </c>
      <c r="E31" s="11">
        <v>184</v>
      </c>
      <c r="F31" s="11">
        <v>61640</v>
      </c>
      <c r="G31" s="11">
        <v>3082</v>
      </c>
      <c r="H31" s="11">
        <v>3236.1000000000022</v>
      </c>
      <c r="I31" s="11">
        <f t="shared" si="0"/>
        <v>335</v>
      </c>
    </row>
    <row r="32" spans="1:9" x14ac:dyDescent="0.3">
      <c r="A32" s="9" t="s">
        <v>31</v>
      </c>
      <c r="B32" s="9" t="s">
        <v>28</v>
      </c>
      <c r="C32" s="9" t="s">
        <v>16</v>
      </c>
      <c r="D32" s="10" t="s">
        <v>17</v>
      </c>
      <c r="E32" s="11">
        <v>76</v>
      </c>
      <c r="F32" s="11">
        <v>22724</v>
      </c>
      <c r="G32" s="11">
        <v>1136.2</v>
      </c>
      <c r="H32" s="11">
        <v>1339.0928571428576</v>
      </c>
      <c r="I32" s="11">
        <f t="shared" si="0"/>
        <v>299</v>
      </c>
    </row>
    <row r="33" spans="1:9" x14ac:dyDescent="0.3">
      <c r="A33" s="11" t="s">
        <v>31</v>
      </c>
      <c r="B33" s="11" t="s">
        <v>28</v>
      </c>
      <c r="C33" s="11" t="s">
        <v>10</v>
      </c>
      <c r="D33" s="12" t="s">
        <v>11</v>
      </c>
      <c r="E33" s="11">
        <v>128</v>
      </c>
      <c r="F33" s="11">
        <v>42880</v>
      </c>
      <c r="G33" s="11">
        <v>2144</v>
      </c>
      <c r="H33" s="11">
        <v>2251.2000000000007</v>
      </c>
      <c r="I33" s="11">
        <f t="shared" si="0"/>
        <v>335</v>
      </c>
    </row>
    <row r="34" spans="1:9" x14ac:dyDescent="0.3">
      <c r="A34" s="9" t="s">
        <v>31</v>
      </c>
      <c r="B34" s="9" t="s">
        <v>28</v>
      </c>
      <c r="C34" s="9" t="s">
        <v>16</v>
      </c>
      <c r="D34" s="10" t="s">
        <v>17</v>
      </c>
      <c r="E34" s="11">
        <v>76</v>
      </c>
      <c r="F34" s="11">
        <v>22724</v>
      </c>
      <c r="G34" s="11">
        <v>1136.2</v>
      </c>
      <c r="H34" s="11">
        <v>1339.0928571428576</v>
      </c>
      <c r="I34" s="11">
        <f t="shared" si="0"/>
        <v>299</v>
      </c>
    </row>
    <row r="35" spans="1:9" x14ac:dyDescent="0.3">
      <c r="A35" s="11" t="s">
        <v>31</v>
      </c>
      <c r="B35" s="11" t="s">
        <v>28</v>
      </c>
      <c r="C35" s="11" t="s">
        <v>10</v>
      </c>
      <c r="D35" s="12" t="s">
        <v>11</v>
      </c>
      <c r="E35" s="11">
        <v>94</v>
      </c>
      <c r="F35" s="11">
        <v>31490</v>
      </c>
      <c r="G35" s="11">
        <v>1574.5</v>
      </c>
      <c r="H35" s="11">
        <v>1653.2250000000022</v>
      </c>
      <c r="I35" s="11">
        <f t="shared" si="0"/>
        <v>335</v>
      </c>
    </row>
    <row r="36" spans="1:9" x14ac:dyDescent="0.3">
      <c r="A36" s="9" t="s">
        <v>31</v>
      </c>
      <c r="B36" s="9" t="s">
        <v>28</v>
      </c>
      <c r="C36" s="9" t="s">
        <v>16</v>
      </c>
      <c r="D36" s="10" t="s">
        <v>17</v>
      </c>
      <c r="E36" s="11">
        <v>98</v>
      </c>
      <c r="F36" s="11">
        <v>29302</v>
      </c>
      <c r="G36" s="11">
        <v>1465.1000000000001</v>
      </c>
      <c r="H36" s="11">
        <v>1726.7250000000022</v>
      </c>
      <c r="I36" s="11">
        <f t="shared" si="0"/>
        <v>299</v>
      </c>
    </row>
    <row r="37" spans="1:9" x14ac:dyDescent="0.3">
      <c r="A37" s="11" t="s">
        <v>31</v>
      </c>
      <c r="B37" s="11" t="s">
        <v>28</v>
      </c>
      <c r="C37" s="11" t="s">
        <v>10</v>
      </c>
      <c r="D37" s="12" t="s">
        <v>11</v>
      </c>
      <c r="E37" s="11">
        <v>232</v>
      </c>
      <c r="F37" s="11">
        <v>77720</v>
      </c>
      <c r="G37" s="11">
        <v>3886</v>
      </c>
      <c r="H37" s="11">
        <v>4080.3000000000029</v>
      </c>
      <c r="I37" s="11">
        <f t="shared" si="0"/>
        <v>335</v>
      </c>
    </row>
    <row r="38" spans="1:9" x14ac:dyDescent="0.3">
      <c r="A38" s="9" t="s">
        <v>31</v>
      </c>
      <c r="B38" s="9" t="s">
        <v>28</v>
      </c>
      <c r="C38" s="9" t="s">
        <v>16</v>
      </c>
      <c r="D38" s="10" t="s">
        <v>17</v>
      </c>
      <c r="E38" s="11">
        <v>124</v>
      </c>
      <c r="F38" s="11">
        <v>37076</v>
      </c>
      <c r="G38" s="11">
        <v>1853.8000000000002</v>
      </c>
      <c r="H38" s="11">
        <v>2184.8357142857167</v>
      </c>
      <c r="I38" s="11">
        <f t="shared" si="0"/>
        <v>299</v>
      </c>
    </row>
    <row r="39" spans="1:9" x14ac:dyDescent="0.3">
      <c r="A39" s="11" t="s">
        <v>31</v>
      </c>
      <c r="B39" s="11" t="s">
        <v>28</v>
      </c>
      <c r="C39" s="11" t="s">
        <v>10</v>
      </c>
      <c r="D39" s="12" t="s">
        <v>11</v>
      </c>
      <c r="E39" s="11">
        <v>222</v>
      </c>
      <c r="F39" s="11">
        <v>74370</v>
      </c>
      <c r="G39" s="11">
        <v>3718.5</v>
      </c>
      <c r="H39" s="11">
        <v>3904.4250000000029</v>
      </c>
      <c r="I39" s="11">
        <f t="shared" si="0"/>
        <v>335</v>
      </c>
    </row>
    <row r="40" spans="1:9" x14ac:dyDescent="0.3">
      <c r="A40" s="9" t="s">
        <v>31</v>
      </c>
      <c r="B40" s="9" t="s">
        <v>28</v>
      </c>
      <c r="C40" s="9" t="s">
        <v>16</v>
      </c>
      <c r="D40" s="10" t="s">
        <v>17</v>
      </c>
      <c r="E40" s="11">
        <v>126</v>
      </c>
      <c r="F40" s="11">
        <v>37674</v>
      </c>
      <c r="G40" s="11">
        <v>1883.7</v>
      </c>
      <c r="H40" s="11">
        <v>2220.0750000000007</v>
      </c>
      <c r="I40" s="11">
        <f t="shared" si="0"/>
        <v>299</v>
      </c>
    </row>
    <row r="41" spans="1:9" x14ac:dyDescent="0.3">
      <c r="A41" s="11" t="s">
        <v>31</v>
      </c>
      <c r="B41" s="11" t="s">
        <v>28</v>
      </c>
      <c r="C41" s="11" t="s">
        <v>10</v>
      </c>
      <c r="D41" s="12" t="s">
        <v>11</v>
      </c>
      <c r="E41" s="11">
        <v>278</v>
      </c>
      <c r="F41" s="11">
        <v>93130</v>
      </c>
      <c r="G41" s="11">
        <v>4656.5</v>
      </c>
      <c r="H41" s="11">
        <v>4889.3250000000044</v>
      </c>
      <c r="I41" s="11">
        <f t="shared" si="0"/>
        <v>335</v>
      </c>
    </row>
    <row r="42" spans="1:9" x14ac:dyDescent="0.3">
      <c r="A42" s="9" t="s">
        <v>31</v>
      </c>
      <c r="B42" s="9" t="s">
        <v>28</v>
      </c>
      <c r="C42" s="9" t="s">
        <v>16</v>
      </c>
      <c r="D42" s="10" t="s">
        <v>17</v>
      </c>
      <c r="E42" s="11">
        <v>178</v>
      </c>
      <c r="F42" s="11">
        <v>53222</v>
      </c>
      <c r="G42" s="11">
        <v>2661.1000000000004</v>
      </c>
      <c r="H42" s="11">
        <v>3136.2964285714297</v>
      </c>
      <c r="I42" s="11">
        <f t="shared" si="0"/>
        <v>299</v>
      </c>
    </row>
    <row r="43" spans="1:9" x14ac:dyDescent="0.3">
      <c r="A43" s="11" t="s">
        <v>31</v>
      </c>
      <c r="B43" s="11" t="s">
        <v>28</v>
      </c>
      <c r="C43" s="11" t="s">
        <v>10</v>
      </c>
      <c r="D43" s="12" t="s">
        <v>11</v>
      </c>
      <c r="E43" s="11">
        <v>362</v>
      </c>
      <c r="F43" s="11">
        <v>121270</v>
      </c>
      <c r="G43" s="11">
        <v>6063.5</v>
      </c>
      <c r="H43" s="11">
        <v>6366.6750000000029</v>
      </c>
      <c r="I43" s="11">
        <f t="shared" si="0"/>
        <v>335</v>
      </c>
    </row>
    <row r="44" spans="1:9" x14ac:dyDescent="0.3">
      <c r="A44" s="9" t="s">
        <v>31</v>
      </c>
      <c r="B44" s="9" t="s">
        <v>28</v>
      </c>
      <c r="C44" s="9" t="s">
        <v>16</v>
      </c>
      <c r="D44" s="10" t="s">
        <v>17</v>
      </c>
      <c r="E44" s="11">
        <v>142</v>
      </c>
      <c r="F44" s="11">
        <v>42458</v>
      </c>
      <c r="G44" s="11">
        <v>2122.9</v>
      </c>
      <c r="H44" s="11">
        <v>2501.9892857142877</v>
      </c>
      <c r="I44" s="11">
        <f t="shared" si="0"/>
        <v>299</v>
      </c>
    </row>
    <row r="45" spans="1:9" x14ac:dyDescent="0.3">
      <c r="A45" s="11" t="s">
        <v>31</v>
      </c>
      <c r="B45" s="11" t="s">
        <v>28</v>
      </c>
      <c r="C45" s="11" t="s">
        <v>10</v>
      </c>
      <c r="D45" s="12" t="s">
        <v>11</v>
      </c>
      <c r="E45" s="11">
        <v>320</v>
      </c>
      <c r="F45" s="11">
        <v>107200</v>
      </c>
      <c r="G45" s="11">
        <v>5360</v>
      </c>
      <c r="H45" s="11">
        <v>5628.0000000000073</v>
      </c>
      <c r="I45" s="11">
        <f t="shared" si="0"/>
        <v>335</v>
      </c>
    </row>
    <row r="46" spans="1:9" x14ac:dyDescent="0.3">
      <c r="A46" s="9" t="s">
        <v>31</v>
      </c>
      <c r="B46" s="9" t="s">
        <v>28</v>
      </c>
      <c r="C46" s="9" t="s">
        <v>16</v>
      </c>
      <c r="D46" s="10" t="s">
        <v>17</v>
      </c>
      <c r="E46" s="11">
        <v>148</v>
      </c>
      <c r="F46" s="11">
        <v>44252</v>
      </c>
      <c r="G46" s="11">
        <v>2212.6</v>
      </c>
      <c r="H46" s="11">
        <v>2607.7071428571435</v>
      </c>
      <c r="I46" s="11">
        <f t="shared" si="0"/>
        <v>299</v>
      </c>
    </row>
    <row r="47" spans="1:9" x14ac:dyDescent="0.3">
      <c r="A47" s="11" t="s">
        <v>31</v>
      </c>
      <c r="B47" s="11" t="s">
        <v>28</v>
      </c>
      <c r="C47" s="11" t="s">
        <v>10</v>
      </c>
      <c r="D47" s="12" t="s">
        <v>11</v>
      </c>
      <c r="E47" s="11">
        <v>262</v>
      </c>
      <c r="F47" s="11">
        <v>87770</v>
      </c>
      <c r="G47" s="11">
        <v>4388.5</v>
      </c>
      <c r="H47" s="11">
        <v>4607.9250000000029</v>
      </c>
      <c r="I47" s="11">
        <f t="shared" si="0"/>
        <v>335</v>
      </c>
    </row>
    <row r="48" spans="1:9" x14ac:dyDescent="0.3">
      <c r="A48" s="9" t="s">
        <v>31</v>
      </c>
      <c r="B48" s="9" t="s">
        <v>28</v>
      </c>
      <c r="C48" s="9" t="s">
        <v>16</v>
      </c>
      <c r="D48" s="10" t="s">
        <v>17</v>
      </c>
      <c r="E48" s="11">
        <v>160</v>
      </c>
      <c r="F48" s="11">
        <v>47840</v>
      </c>
      <c r="G48" s="11">
        <v>2392</v>
      </c>
      <c r="H48" s="11">
        <v>2819.1428571428587</v>
      </c>
      <c r="I48" s="11">
        <f t="shared" si="0"/>
        <v>299</v>
      </c>
    </row>
    <row r="49" spans="1:9" x14ac:dyDescent="0.3">
      <c r="A49" s="11" t="s">
        <v>31</v>
      </c>
      <c r="B49" s="11" t="s">
        <v>28</v>
      </c>
      <c r="C49" s="11" t="s">
        <v>10</v>
      </c>
      <c r="D49" s="12" t="s">
        <v>11</v>
      </c>
      <c r="E49" s="11">
        <v>282</v>
      </c>
      <c r="F49" s="11">
        <v>94470</v>
      </c>
      <c r="G49" s="11">
        <v>4723.5</v>
      </c>
      <c r="H49" s="11">
        <v>4959.6750000000029</v>
      </c>
      <c r="I49" s="11">
        <f t="shared" si="0"/>
        <v>335</v>
      </c>
    </row>
    <row r="50" spans="1:9" x14ac:dyDescent="0.3">
      <c r="A50" s="9" t="s">
        <v>31</v>
      </c>
      <c r="B50" s="9" t="s">
        <v>28</v>
      </c>
      <c r="C50" s="9" t="s">
        <v>16</v>
      </c>
      <c r="D50" s="10" t="s">
        <v>17</v>
      </c>
      <c r="E50" s="11">
        <v>120</v>
      </c>
      <c r="F50" s="11">
        <v>35880</v>
      </c>
      <c r="G50" s="11">
        <v>1794</v>
      </c>
      <c r="H50" s="11">
        <v>2114.3571428571449</v>
      </c>
      <c r="I50" s="11">
        <f t="shared" si="0"/>
        <v>299</v>
      </c>
    </row>
    <row r="51" spans="1:9" x14ac:dyDescent="0.3">
      <c r="A51" s="11" t="s">
        <v>31</v>
      </c>
      <c r="B51" s="11" t="s">
        <v>28</v>
      </c>
      <c r="C51" s="11" t="s">
        <v>10</v>
      </c>
      <c r="D51" s="12" t="s">
        <v>11</v>
      </c>
      <c r="E51" s="11">
        <v>312</v>
      </c>
      <c r="F51" s="11">
        <v>104520</v>
      </c>
      <c r="G51" s="11">
        <v>5226</v>
      </c>
      <c r="H51" s="11">
        <v>5487.3000000000029</v>
      </c>
      <c r="I51" s="11">
        <f t="shared" si="0"/>
        <v>335</v>
      </c>
    </row>
    <row r="52" spans="1:9" x14ac:dyDescent="0.3">
      <c r="A52" s="9" t="s">
        <v>31</v>
      </c>
      <c r="B52" s="9" t="s">
        <v>28</v>
      </c>
      <c r="C52" s="9" t="s">
        <v>16</v>
      </c>
      <c r="D52" s="10" t="s">
        <v>17</v>
      </c>
      <c r="E52" s="11">
        <v>162</v>
      </c>
      <c r="F52" s="11">
        <v>48438</v>
      </c>
      <c r="G52" s="11">
        <v>2421.9</v>
      </c>
      <c r="H52" s="11">
        <v>2854.3821428571464</v>
      </c>
      <c r="I52" s="11">
        <f t="shared" si="0"/>
        <v>299</v>
      </c>
    </row>
    <row r="53" spans="1:9" x14ac:dyDescent="0.3">
      <c r="A53" s="11" t="s">
        <v>31</v>
      </c>
      <c r="B53" s="11" t="s">
        <v>28</v>
      </c>
      <c r="C53" s="11" t="s">
        <v>10</v>
      </c>
      <c r="D53" s="12" t="s">
        <v>11</v>
      </c>
      <c r="E53" s="11">
        <v>338</v>
      </c>
      <c r="F53" s="11">
        <v>113230</v>
      </c>
      <c r="G53" s="11">
        <v>5661.5</v>
      </c>
      <c r="H53" s="11">
        <v>5944.5750000000044</v>
      </c>
      <c r="I53" s="11">
        <f t="shared" si="0"/>
        <v>335</v>
      </c>
    </row>
    <row r="54" spans="1:9" x14ac:dyDescent="0.3">
      <c r="A54" s="9" t="s">
        <v>31</v>
      </c>
      <c r="B54" s="9" t="s">
        <v>28</v>
      </c>
      <c r="C54" s="9" t="s">
        <v>16</v>
      </c>
      <c r="D54" s="10" t="s">
        <v>17</v>
      </c>
      <c r="E54" s="11">
        <v>118</v>
      </c>
      <c r="F54" s="11">
        <v>35282</v>
      </c>
      <c r="G54" s="11">
        <v>1764.1000000000001</v>
      </c>
      <c r="H54" s="11">
        <v>2079.1178571428572</v>
      </c>
      <c r="I54" s="11">
        <f t="shared" si="0"/>
        <v>299</v>
      </c>
    </row>
    <row r="55" spans="1:9" x14ac:dyDescent="0.3">
      <c r="A55" s="11" t="s">
        <v>31</v>
      </c>
      <c r="B55" s="11" t="s">
        <v>28</v>
      </c>
      <c r="C55" s="11" t="s">
        <v>10</v>
      </c>
      <c r="D55" s="12" t="s">
        <v>11</v>
      </c>
      <c r="E55" s="11">
        <v>320</v>
      </c>
      <c r="F55" s="11">
        <v>107200</v>
      </c>
      <c r="G55" s="11">
        <v>5360</v>
      </c>
      <c r="H55" s="11">
        <v>5628.0000000000073</v>
      </c>
      <c r="I55" s="11">
        <f t="shared" si="0"/>
        <v>335</v>
      </c>
    </row>
    <row r="56" spans="1:9" x14ac:dyDescent="0.3">
      <c r="A56" s="9" t="s">
        <v>31</v>
      </c>
      <c r="B56" s="9" t="s">
        <v>28</v>
      </c>
      <c r="C56" s="9" t="s">
        <v>16</v>
      </c>
      <c r="D56" s="10" t="s">
        <v>17</v>
      </c>
      <c r="E56" s="11">
        <v>140</v>
      </c>
      <c r="F56" s="11">
        <v>41860</v>
      </c>
      <c r="G56" s="11">
        <v>2093</v>
      </c>
      <c r="H56" s="11">
        <v>2466.7500000000036</v>
      </c>
      <c r="I56" s="11">
        <f t="shared" si="0"/>
        <v>299</v>
      </c>
    </row>
    <row r="57" spans="1:9" x14ac:dyDescent="0.3">
      <c r="A57" s="11" t="s">
        <v>31</v>
      </c>
      <c r="B57" s="11" t="s">
        <v>28</v>
      </c>
      <c r="C57" s="11" t="s">
        <v>10</v>
      </c>
      <c r="D57" s="12" t="s">
        <v>11</v>
      </c>
      <c r="E57" s="11">
        <v>286</v>
      </c>
      <c r="F57" s="11">
        <v>95810</v>
      </c>
      <c r="G57" s="11">
        <v>4790.5</v>
      </c>
      <c r="H57" s="11">
        <v>5030.0250000000015</v>
      </c>
      <c r="I57" s="11">
        <f t="shared" si="0"/>
        <v>335</v>
      </c>
    </row>
    <row r="58" spans="1:9" x14ac:dyDescent="0.3">
      <c r="A58" s="9" t="s">
        <v>31</v>
      </c>
      <c r="B58" s="9" t="s">
        <v>28</v>
      </c>
      <c r="C58" s="9" t="s">
        <v>16</v>
      </c>
      <c r="D58" s="10" t="s">
        <v>17</v>
      </c>
      <c r="E58" s="11">
        <v>98</v>
      </c>
      <c r="F58" s="11">
        <v>29302</v>
      </c>
      <c r="G58" s="11">
        <v>1465.1000000000001</v>
      </c>
      <c r="H58" s="11">
        <v>1726.7250000000022</v>
      </c>
      <c r="I58" s="11">
        <f t="shared" si="0"/>
        <v>299</v>
      </c>
    </row>
    <row r="59" spans="1:9" x14ac:dyDescent="0.3">
      <c r="A59" s="11" t="s">
        <v>31</v>
      </c>
      <c r="B59" s="11" t="s">
        <v>28</v>
      </c>
      <c r="C59" s="11" t="s">
        <v>10</v>
      </c>
      <c r="D59" s="12" t="s">
        <v>11</v>
      </c>
      <c r="E59" s="11">
        <v>222</v>
      </c>
      <c r="F59" s="11">
        <v>74370</v>
      </c>
      <c r="G59" s="11">
        <v>3718.5</v>
      </c>
      <c r="H59" s="11">
        <v>3904.4250000000029</v>
      </c>
      <c r="I59" s="11">
        <f t="shared" si="0"/>
        <v>335</v>
      </c>
    </row>
    <row r="60" spans="1:9" x14ac:dyDescent="0.3">
      <c r="A60" s="9" t="s">
        <v>31</v>
      </c>
      <c r="B60" s="9" t="s">
        <v>28</v>
      </c>
      <c r="C60" s="9" t="s">
        <v>16</v>
      </c>
      <c r="D60" s="10" t="s">
        <v>17</v>
      </c>
      <c r="E60" s="11">
        <v>104</v>
      </c>
      <c r="F60" s="11">
        <v>31096</v>
      </c>
      <c r="G60" s="11">
        <v>1554.8000000000002</v>
      </c>
      <c r="H60" s="11">
        <v>1832.442857142858</v>
      </c>
      <c r="I60" s="11">
        <f t="shared" si="0"/>
        <v>299</v>
      </c>
    </row>
    <row r="61" spans="1:9" x14ac:dyDescent="0.3">
      <c r="A61" s="11" t="s">
        <v>31</v>
      </c>
      <c r="B61" s="11" t="s">
        <v>28</v>
      </c>
      <c r="C61" s="11" t="s">
        <v>10</v>
      </c>
      <c r="D61" s="12" t="s">
        <v>11</v>
      </c>
      <c r="E61" s="11">
        <v>270</v>
      </c>
      <c r="F61" s="11">
        <v>90450</v>
      </c>
      <c r="G61" s="11">
        <v>4522.5</v>
      </c>
      <c r="H61" s="11">
        <v>4748.6250000000073</v>
      </c>
      <c r="I61" s="11">
        <f t="shared" si="0"/>
        <v>335</v>
      </c>
    </row>
    <row r="62" spans="1:9" x14ac:dyDescent="0.3">
      <c r="A62" s="9" t="s">
        <v>31</v>
      </c>
      <c r="B62" s="9" t="s">
        <v>28</v>
      </c>
      <c r="C62" s="9" t="s">
        <v>16</v>
      </c>
      <c r="D62" s="10" t="s">
        <v>17</v>
      </c>
      <c r="E62" s="11">
        <v>106</v>
      </c>
      <c r="F62" s="11">
        <v>31694</v>
      </c>
      <c r="G62" s="11">
        <v>1584.7</v>
      </c>
      <c r="H62" s="11">
        <v>1867.6821428571438</v>
      </c>
      <c r="I62" s="11">
        <f t="shared" si="0"/>
        <v>299</v>
      </c>
    </row>
    <row r="63" spans="1:9" x14ac:dyDescent="0.3">
      <c r="A63" s="11" t="s">
        <v>31</v>
      </c>
      <c r="B63" s="11" t="s">
        <v>28</v>
      </c>
      <c r="C63" s="11" t="s">
        <v>10</v>
      </c>
      <c r="D63" s="12" t="s">
        <v>11</v>
      </c>
      <c r="E63" s="11">
        <v>212</v>
      </c>
      <c r="F63" s="11">
        <v>71020</v>
      </c>
      <c r="G63" s="11">
        <v>3551</v>
      </c>
      <c r="H63" s="11">
        <v>3728.5500000000029</v>
      </c>
      <c r="I63" s="11">
        <f t="shared" si="0"/>
        <v>335</v>
      </c>
    </row>
    <row r="64" spans="1:9" x14ac:dyDescent="0.3">
      <c r="A64" s="9" t="s">
        <v>31</v>
      </c>
      <c r="B64" s="9" t="s">
        <v>9</v>
      </c>
      <c r="C64" s="9" t="s">
        <v>16</v>
      </c>
      <c r="D64" s="10" t="s">
        <v>17</v>
      </c>
      <c r="E64" s="11">
        <v>222</v>
      </c>
      <c r="F64" s="11">
        <v>66378</v>
      </c>
      <c r="G64" s="11">
        <v>3318.9</v>
      </c>
      <c r="H64" s="11">
        <v>3911.5607142857152</v>
      </c>
      <c r="I64" s="11">
        <f t="shared" si="0"/>
        <v>299</v>
      </c>
    </row>
    <row r="65" spans="1:9" x14ac:dyDescent="0.3">
      <c r="A65" s="11" t="s">
        <v>31</v>
      </c>
      <c r="B65" s="11" t="s">
        <v>9</v>
      </c>
      <c r="C65" s="11" t="s">
        <v>10</v>
      </c>
      <c r="D65" s="12" t="s">
        <v>11</v>
      </c>
      <c r="E65" s="11">
        <v>278</v>
      </c>
      <c r="F65" s="11">
        <v>93130</v>
      </c>
      <c r="G65" s="11">
        <v>4656.5</v>
      </c>
      <c r="H65" s="11">
        <v>4889.3250000000044</v>
      </c>
      <c r="I65" s="11">
        <f t="shared" si="0"/>
        <v>335</v>
      </c>
    </row>
    <row r="66" spans="1:9" x14ac:dyDescent="0.3">
      <c r="A66" s="9" t="s">
        <v>31</v>
      </c>
      <c r="B66" s="9" t="s">
        <v>9</v>
      </c>
      <c r="C66" s="9" t="s">
        <v>16</v>
      </c>
      <c r="D66" s="10" t="s">
        <v>17</v>
      </c>
      <c r="E66" s="11">
        <v>204</v>
      </c>
      <c r="F66" s="11">
        <v>60996</v>
      </c>
      <c r="G66" s="11">
        <v>3049.8</v>
      </c>
      <c r="H66" s="11">
        <v>3594.4071428571442</v>
      </c>
      <c r="I66" s="11">
        <f t="shared" si="0"/>
        <v>299</v>
      </c>
    </row>
    <row r="67" spans="1:9" x14ac:dyDescent="0.3">
      <c r="A67" s="11" t="s">
        <v>31</v>
      </c>
      <c r="B67" s="11" t="s">
        <v>9</v>
      </c>
      <c r="C67" s="11" t="s">
        <v>10</v>
      </c>
      <c r="D67" s="12" t="s">
        <v>11</v>
      </c>
      <c r="E67" s="11">
        <v>286</v>
      </c>
      <c r="F67" s="11">
        <v>95810</v>
      </c>
      <c r="G67" s="11">
        <v>4790.5</v>
      </c>
      <c r="H67" s="11">
        <v>5030.0250000000015</v>
      </c>
      <c r="I67" s="11">
        <f t="shared" ref="I67:I77" si="1">IFERROR((F67/E67),0)</f>
        <v>335</v>
      </c>
    </row>
    <row r="68" spans="1:9" x14ac:dyDescent="0.3">
      <c r="A68" s="9" t="s">
        <v>31</v>
      </c>
      <c r="B68" s="9" t="s">
        <v>9</v>
      </c>
      <c r="C68" s="9" t="s">
        <v>16</v>
      </c>
      <c r="D68" s="10" t="s">
        <v>17</v>
      </c>
      <c r="E68" s="11">
        <v>190</v>
      </c>
      <c r="F68" s="11">
        <v>56810</v>
      </c>
      <c r="G68" s="11">
        <v>2840.5</v>
      </c>
      <c r="H68" s="11">
        <v>3347.7321428571449</v>
      </c>
      <c r="I68" s="11">
        <f t="shared" si="1"/>
        <v>299</v>
      </c>
    </row>
    <row r="69" spans="1:9" x14ac:dyDescent="0.3">
      <c r="A69" s="11" t="s">
        <v>31</v>
      </c>
      <c r="B69" s="11" t="s">
        <v>9</v>
      </c>
      <c r="C69" s="11" t="s">
        <v>10</v>
      </c>
      <c r="D69" s="12" t="s">
        <v>11</v>
      </c>
      <c r="E69" s="11">
        <v>384</v>
      </c>
      <c r="F69" s="11">
        <v>128640</v>
      </c>
      <c r="G69" s="11">
        <v>6432</v>
      </c>
      <c r="H69" s="11">
        <v>6753.6000000000058</v>
      </c>
      <c r="I69" s="11">
        <f t="shared" si="1"/>
        <v>335</v>
      </c>
    </row>
    <row r="70" spans="1:9" x14ac:dyDescent="0.3">
      <c r="A70" s="9" t="s">
        <v>31</v>
      </c>
      <c r="B70" s="9" t="s">
        <v>9</v>
      </c>
      <c r="C70" s="9" t="s">
        <v>16</v>
      </c>
      <c r="D70" s="10" t="s">
        <v>17</v>
      </c>
      <c r="E70" s="11">
        <v>298</v>
      </c>
      <c r="F70" s="11">
        <v>89102</v>
      </c>
      <c r="G70" s="11">
        <v>4455.1000000000004</v>
      </c>
      <c r="H70" s="11">
        <v>5250.6535714285783</v>
      </c>
      <c r="I70" s="11">
        <f t="shared" si="1"/>
        <v>299</v>
      </c>
    </row>
    <row r="71" spans="1:9" x14ac:dyDescent="0.3">
      <c r="A71" s="11" t="s">
        <v>31</v>
      </c>
      <c r="B71" s="11" t="s">
        <v>9</v>
      </c>
      <c r="C71" s="11" t="s">
        <v>10</v>
      </c>
      <c r="D71" s="12" t="s">
        <v>11</v>
      </c>
      <c r="E71" s="11">
        <v>406</v>
      </c>
      <c r="F71" s="11">
        <v>136010</v>
      </c>
      <c r="G71" s="11">
        <v>6800.5</v>
      </c>
      <c r="H71" s="11">
        <v>7140.5250000000015</v>
      </c>
      <c r="I71" s="11">
        <f t="shared" si="1"/>
        <v>335</v>
      </c>
    </row>
    <row r="72" spans="1:9" x14ac:dyDescent="0.3">
      <c r="A72" s="9" t="s">
        <v>31</v>
      </c>
      <c r="B72" s="9" t="s">
        <v>9</v>
      </c>
      <c r="C72" s="9" t="s">
        <v>16</v>
      </c>
      <c r="D72" s="10" t="s">
        <v>17</v>
      </c>
      <c r="E72" s="11">
        <v>234</v>
      </c>
      <c r="F72" s="11">
        <v>69966</v>
      </c>
      <c r="G72" s="11">
        <v>3498.3</v>
      </c>
      <c r="H72" s="11">
        <v>4122.9964285714304</v>
      </c>
      <c r="I72" s="11">
        <f t="shared" si="1"/>
        <v>299</v>
      </c>
    </row>
    <row r="73" spans="1:9" x14ac:dyDescent="0.3">
      <c r="A73" s="11" t="s">
        <v>31</v>
      </c>
      <c r="B73" s="11" t="s">
        <v>9</v>
      </c>
      <c r="C73" s="11" t="s">
        <v>10</v>
      </c>
      <c r="D73" s="12" t="s">
        <v>11</v>
      </c>
      <c r="E73" s="11">
        <v>270</v>
      </c>
      <c r="F73" s="11">
        <v>90450</v>
      </c>
      <c r="G73" s="11">
        <v>4522.5</v>
      </c>
      <c r="H73" s="11">
        <v>4748.6250000000073</v>
      </c>
      <c r="I73" s="11">
        <f t="shared" si="1"/>
        <v>335</v>
      </c>
    </row>
    <row r="74" spans="1:9" x14ac:dyDescent="0.3">
      <c r="A74" s="9" t="s">
        <v>31</v>
      </c>
      <c r="B74" s="9" t="s">
        <v>9</v>
      </c>
      <c r="C74" s="9" t="s">
        <v>16</v>
      </c>
      <c r="D74" s="10" t="s">
        <v>17</v>
      </c>
      <c r="E74" s="11">
        <v>220</v>
      </c>
      <c r="F74" s="11">
        <v>65780</v>
      </c>
      <c r="G74" s="11">
        <v>3289</v>
      </c>
      <c r="H74" s="11">
        <v>3876.3214285714312</v>
      </c>
      <c r="I74" s="11">
        <f t="shared" si="1"/>
        <v>299</v>
      </c>
    </row>
    <row r="75" spans="1:9" x14ac:dyDescent="0.3">
      <c r="A75" s="11" t="s">
        <v>31</v>
      </c>
      <c r="B75" s="11" t="s">
        <v>9</v>
      </c>
      <c r="C75" s="11" t="s">
        <v>10</v>
      </c>
      <c r="D75" s="12" t="s">
        <v>11</v>
      </c>
      <c r="E75" s="11">
        <v>268</v>
      </c>
      <c r="F75" s="11">
        <v>89780</v>
      </c>
      <c r="G75" s="11">
        <v>4489</v>
      </c>
      <c r="H75" s="11">
        <v>4713.4500000000044</v>
      </c>
      <c r="I75" s="11">
        <f t="shared" si="1"/>
        <v>335</v>
      </c>
    </row>
    <row r="76" spans="1:9" x14ac:dyDescent="0.3">
      <c r="A76" s="9" t="s">
        <v>31</v>
      </c>
      <c r="B76" s="9" t="s">
        <v>9</v>
      </c>
      <c r="C76" s="9" t="s">
        <v>16</v>
      </c>
      <c r="D76" s="10" t="s">
        <v>17</v>
      </c>
      <c r="E76" s="11">
        <v>192</v>
      </c>
      <c r="F76" s="11">
        <v>57408</v>
      </c>
      <c r="G76" s="11">
        <v>2870.4</v>
      </c>
      <c r="H76" s="11">
        <v>3382.9714285714326</v>
      </c>
      <c r="I76" s="11">
        <f t="shared" si="1"/>
        <v>299</v>
      </c>
    </row>
    <row r="77" spans="1:9" x14ac:dyDescent="0.3">
      <c r="A77" s="11" t="s">
        <v>31</v>
      </c>
      <c r="B77" s="11" t="s">
        <v>9</v>
      </c>
      <c r="C77" s="11" t="s">
        <v>10</v>
      </c>
      <c r="D77" s="12" t="s">
        <v>11</v>
      </c>
      <c r="E77" s="11">
        <v>264</v>
      </c>
      <c r="F77" s="11">
        <v>88440</v>
      </c>
      <c r="G77" s="11">
        <v>4422</v>
      </c>
      <c r="H77" s="11">
        <v>4643.1000000000058</v>
      </c>
      <c r="I77" s="11">
        <f t="shared" si="1"/>
        <v>335</v>
      </c>
    </row>
    <row r="78" spans="1:9" x14ac:dyDescent="0.3">
      <c r="A78" s="9"/>
      <c r="B78" s="9"/>
      <c r="C78" s="9"/>
      <c r="D78" s="10"/>
    </row>
    <row r="79" spans="1:9" x14ac:dyDescent="0.3">
      <c r="C79" s="11"/>
    </row>
    <row r="80" spans="1:9" x14ac:dyDescent="0.3">
      <c r="A80" s="9"/>
      <c r="B80" s="9"/>
      <c r="C80" s="9"/>
      <c r="D80" s="10"/>
    </row>
    <row r="81" spans="1:4" x14ac:dyDescent="0.3">
      <c r="C81" s="11"/>
    </row>
    <row r="82" spans="1:4" x14ac:dyDescent="0.3">
      <c r="A82" s="9"/>
      <c r="B82" s="9"/>
      <c r="C82" s="9"/>
      <c r="D82" s="10"/>
    </row>
    <row r="83" spans="1:4" x14ac:dyDescent="0.3">
      <c r="C83" s="11"/>
    </row>
    <row r="84" spans="1:4" x14ac:dyDescent="0.3">
      <c r="A84" s="9"/>
      <c r="B84" s="9"/>
      <c r="C84" s="9"/>
      <c r="D84" s="10"/>
    </row>
    <row r="85" spans="1:4" x14ac:dyDescent="0.3">
      <c r="C85" s="11"/>
    </row>
    <row r="86" spans="1:4" x14ac:dyDescent="0.3">
      <c r="A86" s="9"/>
      <c r="B86" s="9"/>
      <c r="C86" s="9"/>
      <c r="D86" s="10"/>
    </row>
    <row r="87" spans="1:4" x14ac:dyDescent="0.3">
      <c r="C87" s="11"/>
    </row>
    <row r="88" spans="1:4" x14ac:dyDescent="0.3">
      <c r="A88" s="9"/>
      <c r="B88" s="9"/>
      <c r="C88" s="9"/>
      <c r="D88" s="10"/>
    </row>
    <row r="89" spans="1:4" x14ac:dyDescent="0.3">
      <c r="C89" s="11"/>
    </row>
    <row r="90" spans="1:4" x14ac:dyDescent="0.3">
      <c r="A90" s="9"/>
      <c r="B90" s="9"/>
      <c r="C90" s="9"/>
      <c r="D90" s="10"/>
    </row>
    <row r="91" spans="1:4" x14ac:dyDescent="0.3">
      <c r="C91" s="11"/>
    </row>
    <row r="92" spans="1:4" x14ac:dyDescent="0.3">
      <c r="A92" s="9"/>
      <c r="B92" s="9"/>
      <c r="C92" s="9"/>
      <c r="D92" s="10"/>
    </row>
    <row r="93" spans="1:4" x14ac:dyDescent="0.3">
      <c r="C93" s="11"/>
    </row>
    <row r="94" spans="1:4" x14ac:dyDescent="0.3">
      <c r="A94" s="9"/>
      <c r="B94" s="9"/>
      <c r="C94" s="9"/>
      <c r="D94" s="10"/>
    </row>
    <row r="95" spans="1:4" x14ac:dyDescent="0.3">
      <c r="C95" s="11"/>
    </row>
    <row r="96" spans="1:4" x14ac:dyDescent="0.3">
      <c r="A96" s="9"/>
      <c r="B96" s="9"/>
      <c r="C96" s="9"/>
      <c r="D96" s="10"/>
    </row>
    <row r="97" spans="1:4" x14ac:dyDescent="0.3">
      <c r="C97" s="11"/>
    </row>
    <row r="98" spans="1:4" x14ac:dyDescent="0.3">
      <c r="A98" s="9"/>
      <c r="B98" s="9"/>
      <c r="C98" s="9"/>
      <c r="D98" s="10"/>
    </row>
    <row r="99" spans="1:4" x14ac:dyDescent="0.3">
      <c r="C99" s="11"/>
    </row>
    <row r="100" spans="1:4" x14ac:dyDescent="0.3">
      <c r="A100" s="9"/>
      <c r="B100" s="9"/>
      <c r="C100" s="9"/>
      <c r="D100" s="10"/>
    </row>
    <row r="101" spans="1:4" x14ac:dyDescent="0.3">
      <c r="C101" s="11"/>
    </row>
    <row r="102" spans="1:4" x14ac:dyDescent="0.3">
      <c r="A102" s="9"/>
      <c r="B102" s="9"/>
      <c r="C102" s="9"/>
      <c r="D102" s="10"/>
    </row>
    <row r="103" spans="1:4" x14ac:dyDescent="0.3">
      <c r="C103" s="11"/>
    </row>
    <row r="104" spans="1:4" x14ac:dyDescent="0.3">
      <c r="A104" s="9"/>
      <c r="B104" s="9"/>
      <c r="C104" s="9"/>
      <c r="D104" s="10"/>
    </row>
    <row r="105" spans="1:4" x14ac:dyDescent="0.3">
      <c r="C105" s="11"/>
    </row>
    <row r="106" spans="1:4" x14ac:dyDescent="0.3">
      <c r="A106" s="9"/>
      <c r="B106" s="9"/>
      <c r="C106" s="9"/>
      <c r="D106" s="10"/>
    </row>
    <row r="107" spans="1:4" x14ac:dyDescent="0.3">
      <c r="C107" s="11"/>
    </row>
    <row r="108" spans="1:4" x14ac:dyDescent="0.3">
      <c r="A108" s="9"/>
      <c r="B108" s="9"/>
      <c r="C108" s="9"/>
      <c r="D108" s="10"/>
    </row>
    <row r="109" spans="1:4" x14ac:dyDescent="0.3">
      <c r="C109" s="11"/>
    </row>
    <row r="110" spans="1:4" x14ac:dyDescent="0.3">
      <c r="A110" s="9"/>
      <c r="B110" s="9"/>
      <c r="C110" s="9"/>
      <c r="D110" s="10"/>
    </row>
    <row r="111" spans="1:4" x14ac:dyDescent="0.3">
      <c r="C111" s="11"/>
    </row>
    <row r="112" spans="1:4" x14ac:dyDescent="0.3">
      <c r="A112" s="9"/>
      <c r="B112" s="9"/>
      <c r="C112" s="9"/>
      <c r="D112" s="10"/>
    </row>
    <row r="113" spans="1:4" x14ac:dyDescent="0.3">
      <c r="C113" s="11"/>
    </row>
    <row r="114" spans="1:4" x14ac:dyDescent="0.3">
      <c r="A114" s="9"/>
      <c r="B114" s="9"/>
      <c r="C114" s="9"/>
      <c r="D114" s="10"/>
    </row>
    <row r="115" spans="1:4" x14ac:dyDescent="0.3">
      <c r="C115" s="11"/>
    </row>
    <row r="116" spans="1:4" x14ac:dyDescent="0.3">
      <c r="A116" s="9"/>
      <c r="B116" s="9"/>
      <c r="C116" s="9"/>
      <c r="D116" s="10"/>
    </row>
    <row r="117" spans="1:4" x14ac:dyDescent="0.3">
      <c r="C117" s="11"/>
    </row>
    <row r="118" spans="1:4" x14ac:dyDescent="0.3">
      <c r="A118" s="9"/>
      <c r="B118" s="9"/>
      <c r="C118" s="9"/>
      <c r="D118" s="10"/>
    </row>
    <row r="119" spans="1:4" x14ac:dyDescent="0.3">
      <c r="C119" s="11"/>
    </row>
    <row r="120" spans="1:4" x14ac:dyDescent="0.3">
      <c r="A120" s="9"/>
      <c r="B120" s="9"/>
      <c r="C120" s="9"/>
      <c r="D120" s="10"/>
    </row>
    <row r="121" spans="1:4" x14ac:dyDescent="0.3">
      <c r="C121" s="11"/>
    </row>
    <row r="122" spans="1:4" x14ac:dyDescent="0.3">
      <c r="A122" s="9"/>
      <c r="B122" s="9"/>
      <c r="C122" s="9"/>
      <c r="D122" s="10"/>
    </row>
    <row r="123" spans="1:4" x14ac:dyDescent="0.3">
      <c r="C123" s="11"/>
    </row>
    <row r="124" spans="1:4" x14ac:dyDescent="0.3">
      <c r="A124" s="9"/>
      <c r="B124" s="9"/>
      <c r="C124" s="9"/>
      <c r="D124" s="10"/>
    </row>
    <row r="125" spans="1:4" x14ac:dyDescent="0.3">
      <c r="C125" s="11"/>
    </row>
    <row r="126" spans="1:4" x14ac:dyDescent="0.3">
      <c r="A126" s="9"/>
      <c r="B126" s="9"/>
      <c r="C126" s="9"/>
      <c r="D126" s="10"/>
    </row>
    <row r="127" spans="1:4" x14ac:dyDescent="0.3">
      <c r="C127" s="11"/>
    </row>
    <row r="128" spans="1:4" x14ac:dyDescent="0.3">
      <c r="A128" s="9"/>
      <c r="B128" s="9"/>
      <c r="C128" s="9"/>
      <c r="D128" s="10"/>
    </row>
    <row r="129" spans="1:4" x14ac:dyDescent="0.3">
      <c r="C129" s="11"/>
    </row>
    <row r="130" spans="1:4" x14ac:dyDescent="0.3">
      <c r="A130" s="9"/>
      <c r="B130" s="9"/>
      <c r="C130" s="9"/>
      <c r="D130" s="10"/>
    </row>
    <row r="131" spans="1:4" x14ac:dyDescent="0.3">
      <c r="C131" s="11"/>
    </row>
    <row r="132" spans="1:4" x14ac:dyDescent="0.3">
      <c r="A132" s="9"/>
      <c r="B132" s="9"/>
      <c r="C132" s="9"/>
      <c r="D132" s="10"/>
    </row>
    <row r="133" spans="1:4" x14ac:dyDescent="0.3">
      <c r="C133" s="11"/>
    </row>
    <row r="134" spans="1:4" x14ac:dyDescent="0.3">
      <c r="A134" s="9"/>
      <c r="B134" s="9"/>
      <c r="C134" s="9"/>
      <c r="D134" s="10"/>
    </row>
    <row r="135" spans="1:4" x14ac:dyDescent="0.3">
      <c r="C135" s="11"/>
    </row>
    <row r="136" spans="1:4" x14ac:dyDescent="0.3">
      <c r="A136" s="9"/>
      <c r="B136" s="9"/>
      <c r="C136" s="9"/>
      <c r="D136" s="10"/>
    </row>
    <row r="137" spans="1:4" x14ac:dyDescent="0.3">
      <c r="C137" s="11"/>
    </row>
    <row r="138" spans="1:4" x14ac:dyDescent="0.3">
      <c r="A138" s="9"/>
      <c r="B138" s="9"/>
      <c r="C138" s="9"/>
      <c r="D138" s="10"/>
    </row>
    <row r="139" spans="1:4" x14ac:dyDescent="0.3">
      <c r="C139" s="11"/>
    </row>
    <row r="140" spans="1:4" x14ac:dyDescent="0.3">
      <c r="A140" s="9"/>
      <c r="B140" s="9"/>
      <c r="C140" s="9"/>
      <c r="D140" s="10"/>
    </row>
    <row r="141" spans="1:4" x14ac:dyDescent="0.3">
      <c r="C141" s="11"/>
    </row>
    <row r="142" spans="1:4" x14ac:dyDescent="0.3">
      <c r="A142" s="9"/>
      <c r="B142" s="9"/>
      <c r="C142" s="9"/>
      <c r="D142" s="10"/>
    </row>
    <row r="143" spans="1:4" x14ac:dyDescent="0.3">
      <c r="C143" s="11"/>
    </row>
    <row r="144" spans="1:4" x14ac:dyDescent="0.3">
      <c r="A144" s="9"/>
      <c r="B144" s="9"/>
      <c r="C144" s="9"/>
      <c r="D144" s="10"/>
    </row>
    <row r="145" spans="1:4" x14ac:dyDescent="0.3">
      <c r="C145" s="11"/>
    </row>
    <row r="146" spans="1:4" x14ac:dyDescent="0.3">
      <c r="A146" s="9"/>
      <c r="B146" s="9"/>
      <c r="C146" s="9"/>
      <c r="D146" s="10"/>
    </row>
    <row r="147" spans="1:4" x14ac:dyDescent="0.3">
      <c r="C147" s="11"/>
    </row>
    <row r="148" spans="1:4" x14ac:dyDescent="0.3">
      <c r="A148" s="9"/>
      <c r="B148" s="9"/>
      <c r="C148" s="9"/>
      <c r="D148" s="10"/>
    </row>
    <row r="149" spans="1:4" x14ac:dyDescent="0.3">
      <c r="C149" s="11"/>
    </row>
    <row r="150" spans="1:4" x14ac:dyDescent="0.3">
      <c r="A150" s="9"/>
      <c r="B150" s="9"/>
      <c r="C150" s="9"/>
      <c r="D150" s="10"/>
    </row>
    <row r="151" spans="1:4" x14ac:dyDescent="0.3">
      <c r="C151" s="11"/>
    </row>
    <row r="152" spans="1:4" x14ac:dyDescent="0.3">
      <c r="A152" s="9"/>
      <c r="B152" s="9"/>
      <c r="C152" s="9"/>
      <c r="D152" s="10"/>
    </row>
    <row r="153" spans="1:4" x14ac:dyDescent="0.3">
      <c r="C153" s="11"/>
    </row>
    <row r="154" spans="1:4" x14ac:dyDescent="0.3">
      <c r="A154" s="9"/>
      <c r="B154" s="9"/>
      <c r="C154" s="9"/>
      <c r="D154" s="10"/>
    </row>
    <row r="155" spans="1:4" x14ac:dyDescent="0.3">
      <c r="C155" s="11"/>
    </row>
    <row r="156" spans="1:4" x14ac:dyDescent="0.3">
      <c r="A156" s="9"/>
      <c r="B156" s="9"/>
      <c r="C156" s="9"/>
      <c r="D156" s="10"/>
    </row>
    <row r="157" spans="1:4" x14ac:dyDescent="0.3">
      <c r="C157" s="11"/>
    </row>
    <row r="158" spans="1:4" x14ac:dyDescent="0.3">
      <c r="A158" s="9"/>
      <c r="B158" s="9"/>
      <c r="C158" s="9"/>
      <c r="D158" s="10"/>
    </row>
    <row r="159" spans="1:4" x14ac:dyDescent="0.3">
      <c r="C159" s="11"/>
    </row>
    <row r="160" spans="1:4" x14ac:dyDescent="0.3">
      <c r="A160" s="9"/>
      <c r="B160" s="9"/>
      <c r="C160" s="9"/>
      <c r="D160" s="10"/>
    </row>
    <row r="161" spans="1:4" x14ac:dyDescent="0.3">
      <c r="C161" s="11"/>
    </row>
    <row r="162" spans="1:4" x14ac:dyDescent="0.3">
      <c r="A162" s="9"/>
      <c r="B162" s="9"/>
      <c r="C162" s="9"/>
      <c r="D162" s="10"/>
    </row>
    <row r="163" spans="1:4" x14ac:dyDescent="0.3">
      <c r="C163" s="11"/>
    </row>
    <row r="164" spans="1:4" x14ac:dyDescent="0.3">
      <c r="A164" s="9"/>
      <c r="B164" s="9"/>
      <c r="C164" s="9"/>
      <c r="D164" s="10"/>
    </row>
    <row r="165" spans="1:4" x14ac:dyDescent="0.3">
      <c r="C165" s="11"/>
    </row>
    <row r="166" spans="1:4" x14ac:dyDescent="0.3">
      <c r="A166" s="9"/>
      <c r="B166" s="9"/>
      <c r="C166" s="9"/>
      <c r="D166" s="10"/>
    </row>
    <row r="167" spans="1:4" x14ac:dyDescent="0.3">
      <c r="C167" s="11"/>
    </row>
    <row r="168" spans="1:4" x14ac:dyDescent="0.3">
      <c r="A168" s="9"/>
      <c r="B168" s="9"/>
      <c r="C168" s="9"/>
      <c r="D168" s="10"/>
    </row>
    <row r="169" spans="1:4" x14ac:dyDescent="0.3">
      <c r="C169" s="11"/>
    </row>
    <row r="170" spans="1:4" x14ac:dyDescent="0.3">
      <c r="A170" s="9"/>
      <c r="B170" s="9"/>
      <c r="C170" s="9"/>
      <c r="D170" s="10"/>
    </row>
    <row r="171" spans="1:4" x14ac:dyDescent="0.3">
      <c r="C171" s="11"/>
    </row>
    <row r="172" spans="1:4" x14ac:dyDescent="0.3">
      <c r="A172" s="9"/>
      <c r="B172" s="9"/>
      <c r="C172" s="9"/>
      <c r="D172" s="10"/>
    </row>
    <row r="173" spans="1:4" x14ac:dyDescent="0.3">
      <c r="C173" s="11"/>
    </row>
    <row r="174" spans="1:4" x14ac:dyDescent="0.3">
      <c r="A174" s="9"/>
      <c r="B174" s="9"/>
      <c r="C174" s="9"/>
      <c r="D174" s="10"/>
    </row>
    <row r="175" spans="1:4" x14ac:dyDescent="0.3">
      <c r="C175" s="11"/>
    </row>
    <row r="176" spans="1:4" x14ac:dyDescent="0.3">
      <c r="A176" s="9"/>
      <c r="B176" s="9"/>
      <c r="C176" s="9"/>
      <c r="D176" s="10"/>
    </row>
    <row r="177" spans="1:4" x14ac:dyDescent="0.3">
      <c r="C177" s="11"/>
    </row>
    <row r="178" spans="1:4" x14ac:dyDescent="0.3">
      <c r="A178" s="9"/>
      <c r="B178" s="9"/>
      <c r="C178" s="9"/>
      <c r="D178" s="10"/>
    </row>
    <row r="179" spans="1:4" x14ac:dyDescent="0.3">
      <c r="C179" s="11"/>
    </row>
    <row r="180" spans="1:4" x14ac:dyDescent="0.3">
      <c r="A180" s="9"/>
      <c r="B180" s="9"/>
      <c r="C180" s="9"/>
      <c r="D180" s="10"/>
    </row>
    <row r="181" spans="1:4" x14ac:dyDescent="0.3">
      <c r="C181" s="11"/>
    </row>
    <row r="182" spans="1:4" x14ac:dyDescent="0.3">
      <c r="A182" s="9"/>
      <c r="B182" s="9"/>
      <c r="C182" s="9"/>
      <c r="D182" s="10"/>
    </row>
    <row r="183" spans="1:4" x14ac:dyDescent="0.3">
      <c r="C183" s="11"/>
    </row>
    <row r="184" spans="1:4" x14ac:dyDescent="0.3">
      <c r="A184" s="9"/>
      <c r="B184" s="9"/>
      <c r="C184" s="9"/>
      <c r="D184" s="10"/>
    </row>
    <row r="185" spans="1:4" x14ac:dyDescent="0.3">
      <c r="C185" s="11"/>
    </row>
    <row r="186" spans="1:4" x14ac:dyDescent="0.3">
      <c r="A186" s="9"/>
      <c r="B186" s="9"/>
      <c r="C186" s="9"/>
      <c r="D186" s="10"/>
    </row>
    <row r="187" spans="1:4" x14ac:dyDescent="0.3">
      <c r="C187" s="11"/>
    </row>
    <row r="188" spans="1:4" x14ac:dyDescent="0.3">
      <c r="A188" s="9"/>
      <c r="B188" s="9"/>
      <c r="C188" s="9"/>
      <c r="D188" s="10"/>
    </row>
    <row r="189" spans="1:4" x14ac:dyDescent="0.3">
      <c r="C189" s="11"/>
    </row>
    <row r="190" spans="1:4" x14ac:dyDescent="0.3">
      <c r="A190" s="9"/>
      <c r="B190" s="9"/>
      <c r="C190" s="9"/>
      <c r="D190" s="10"/>
    </row>
    <row r="191" spans="1:4" x14ac:dyDescent="0.3">
      <c r="C191" s="11"/>
    </row>
    <row r="192" spans="1:4" x14ac:dyDescent="0.3">
      <c r="A192" s="9"/>
      <c r="B192" s="9"/>
      <c r="C192" s="9"/>
      <c r="D192" s="10"/>
    </row>
    <row r="193" spans="1:4" x14ac:dyDescent="0.3">
      <c r="C193" s="11"/>
    </row>
    <row r="194" spans="1:4" x14ac:dyDescent="0.3">
      <c r="A194" s="9"/>
      <c r="B194" s="9"/>
      <c r="C194" s="9"/>
      <c r="D194" s="10"/>
    </row>
    <row r="195" spans="1:4" x14ac:dyDescent="0.3">
      <c r="C195" s="11"/>
    </row>
    <row r="196" spans="1:4" x14ac:dyDescent="0.3">
      <c r="A196" s="9"/>
      <c r="B196" s="9"/>
      <c r="C196" s="9"/>
      <c r="D196" s="10"/>
    </row>
    <row r="197" spans="1:4" x14ac:dyDescent="0.3">
      <c r="C197" s="11"/>
    </row>
    <row r="198" spans="1:4" x14ac:dyDescent="0.3">
      <c r="A198" s="9"/>
      <c r="B198" s="9"/>
      <c r="C198" s="9"/>
      <c r="D198" s="10"/>
    </row>
    <row r="199" spans="1:4" x14ac:dyDescent="0.3">
      <c r="C199" s="11"/>
    </row>
    <row r="200" spans="1:4" x14ac:dyDescent="0.3">
      <c r="A200" s="9"/>
      <c r="B200" s="9"/>
      <c r="C200" s="9"/>
      <c r="D200" s="10"/>
    </row>
    <row r="201" spans="1:4" x14ac:dyDescent="0.3">
      <c r="C201" s="11"/>
    </row>
    <row r="202" spans="1:4" x14ac:dyDescent="0.3">
      <c r="A202" s="9"/>
      <c r="B202" s="9"/>
      <c r="C202" s="9"/>
      <c r="D202" s="10"/>
    </row>
    <row r="203" spans="1:4" x14ac:dyDescent="0.3">
      <c r="C203" s="11"/>
    </row>
    <row r="204" spans="1:4" x14ac:dyDescent="0.3">
      <c r="A204" s="9"/>
      <c r="B204" s="9"/>
      <c r="C204" s="9"/>
      <c r="D204" s="10"/>
    </row>
    <row r="205" spans="1:4" x14ac:dyDescent="0.3">
      <c r="C205" s="11"/>
    </row>
    <row r="206" spans="1:4" x14ac:dyDescent="0.3">
      <c r="A206" s="9"/>
      <c r="B206" s="9"/>
      <c r="C206" s="9"/>
      <c r="D206" s="10"/>
    </row>
    <row r="207" spans="1:4" x14ac:dyDescent="0.3">
      <c r="C207" s="11"/>
    </row>
    <row r="208" spans="1:4" x14ac:dyDescent="0.3">
      <c r="A208" s="9"/>
      <c r="B208" s="9"/>
      <c r="C208" s="9"/>
      <c r="D208" s="10"/>
    </row>
    <row r="209" spans="1:4" x14ac:dyDescent="0.3">
      <c r="C209" s="11"/>
    </row>
    <row r="210" spans="1:4" x14ac:dyDescent="0.3">
      <c r="A210" s="9"/>
      <c r="B210" s="9"/>
      <c r="C210" s="9"/>
      <c r="D210" s="10"/>
    </row>
    <row r="211" spans="1:4" x14ac:dyDescent="0.3">
      <c r="C211" s="11"/>
    </row>
    <row r="212" spans="1:4" x14ac:dyDescent="0.3">
      <c r="A212" s="9"/>
      <c r="B212" s="9"/>
      <c r="C212" s="9"/>
      <c r="D212" s="10"/>
    </row>
    <row r="213" spans="1:4" x14ac:dyDescent="0.3">
      <c r="C213" s="11"/>
    </row>
    <row r="214" spans="1:4" x14ac:dyDescent="0.3">
      <c r="A214" s="9"/>
      <c r="B214" s="9"/>
      <c r="C214" s="9"/>
      <c r="D214" s="10"/>
    </row>
    <row r="215" spans="1:4" x14ac:dyDescent="0.3">
      <c r="C215" s="11"/>
    </row>
    <row r="216" spans="1:4" x14ac:dyDescent="0.3">
      <c r="A216" s="9"/>
      <c r="B216" s="9"/>
      <c r="C216" s="9"/>
      <c r="D216" s="10"/>
    </row>
    <row r="217" spans="1:4" x14ac:dyDescent="0.3">
      <c r="C217" s="11"/>
    </row>
    <row r="218" spans="1:4" x14ac:dyDescent="0.3">
      <c r="A218" s="9"/>
      <c r="B218" s="9"/>
      <c r="C218" s="9"/>
      <c r="D218" s="10"/>
    </row>
    <row r="219" spans="1:4" x14ac:dyDescent="0.3">
      <c r="C219" s="11"/>
    </row>
    <row r="220" spans="1:4" x14ac:dyDescent="0.3">
      <c r="A220" s="9"/>
      <c r="B220" s="9"/>
      <c r="C220" s="9"/>
      <c r="D220" s="10"/>
    </row>
    <row r="221" spans="1:4" x14ac:dyDescent="0.3">
      <c r="C221" s="11"/>
    </row>
    <row r="222" spans="1:4" x14ac:dyDescent="0.3">
      <c r="A222" s="9"/>
      <c r="B222" s="9"/>
      <c r="C222" s="9"/>
      <c r="D222" s="10"/>
    </row>
    <row r="223" spans="1:4" x14ac:dyDescent="0.3">
      <c r="C223" s="11"/>
    </row>
    <row r="224" spans="1:4" x14ac:dyDescent="0.3">
      <c r="A224" s="9"/>
      <c r="B224" s="9"/>
      <c r="C224" s="9"/>
      <c r="D224" s="10"/>
    </row>
    <row r="225" spans="1:4" x14ac:dyDescent="0.3">
      <c r="C225" s="11"/>
    </row>
    <row r="226" spans="1:4" x14ac:dyDescent="0.3">
      <c r="A226" s="9"/>
      <c r="B226" s="9"/>
      <c r="C226" s="9"/>
      <c r="D226" s="10"/>
    </row>
    <row r="227" spans="1:4" x14ac:dyDescent="0.3">
      <c r="C227" s="11"/>
    </row>
    <row r="228" spans="1:4" x14ac:dyDescent="0.3">
      <c r="A228" s="9"/>
      <c r="B228" s="9"/>
      <c r="C228" s="9"/>
      <c r="D228" s="10"/>
    </row>
    <row r="229" spans="1:4" x14ac:dyDescent="0.3">
      <c r="C229" s="11"/>
    </row>
    <row r="230" spans="1:4" x14ac:dyDescent="0.3">
      <c r="A230" s="9"/>
      <c r="B230" s="9"/>
      <c r="C230" s="9"/>
      <c r="D230" s="10"/>
    </row>
    <row r="231" spans="1:4" x14ac:dyDescent="0.3">
      <c r="C231" s="11"/>
    </row>
    <row r="232" spans="1:4" x14ac:dyDescent="0.3">
      <c r="A232" s="9"/>
      <c r="B232" s="9"/>
      <c r="C232" s="9"/>
      <c r="D232" s="10"/>
    </row>
    <row r="233" spans="1:4" x14ac:dyDescent="0.3">
      <c r="C233" s="11"/>
    </row>
    <row r="234" spans="1:4" x14ac:dyDescent="0.3">
      <c r="A234" s="9"/>
      <c r="B234" s="9"/>
      <c r="C234" s="9"/>
      <c r="D234" s="10"/>
    </row>
    <row r="235" spans="1:4" x14ac:dyDescent="0.3">
      <c r="C235" s="11"/>
    </row>
    <row r="236" spans="1:4" x14ac:dyDescent="0.3">
      <c r="A236" s="9"/>
      <c r="B236" s="9"/>
      <c r="C236" s="9"/>
      <c r="D236" s="10"/>
    </row>
    <row r="237" spans="1:4" x14ac:dyDescent="0.3">
      <c r="C237" s="11"/>
    </row>
    <row r="238" spans="1:4" x14ac:dyDescent="0.3">
      <c r="A238" s="9"/>
      <c r="B238" s="9"/>
      <c r="C238" s="9"/>
      <c r="D238" s="10"/>
    </row>
    <row r="239" spans="1:4" x14ac:dyDescent="0.3">
      <c r="C239" s="11"/>
    </row>
    <row r="240" spans="1:4" x14ac:dyDescent="0.3">
      <c r="A240" s="9"/>
      <c r="B240" s="9"/>
      <c r="C240" s="9"/>
      <c r="D240" s="10"/>
    </row>
    <row r="241" spans="1:4" x14ac:dyDescent="0.3">
      <c r="C241" s="11"/>
    </row>
    <row r="242" spans="1:4" x14ac:dyDescent="0.3">
      <c r="A242" s="9"/>
      <c r="B242" s="9"/>
      <c r="C242" s="9"/>
      <c r="D242" s="10"/>
    </row>
    <row r="243" spans="1:4" x14ac:dyDescent="0.3">
      <c r="C243" s="11"/>
    </row>
    <row r="244" spans="1:4" x14ac:dyDescent="0.3">
      <c r="A244" s="9"/>
      <c r="B244" s="9"/>
      <c r="C244" s="9"/>
      <c r="D244" s="10"/>
    </row>
    <row r="245" spans="1:4" x14ac:dyDescent="0.3">
      <c r="C245" s="11"/>
    </row>
    <row r="246" spans="1:4" x14ac:dyDescent="0.3">
      <c r="A246" s="9"/>
      <c r="B246" s="9"/>
      <c r="C246" s="9"/>
      <c r="D246" s="10"/>
    </row>
    <row r="247" spans="1:4" x14ac:dyDescent="0.3">
      <c r="C247" s="11"/>
    </row>
    <row r="248" spans="1:4" x14ac:dyDescent="0.3">
      <c r="A248" s="9"/>
      <c r="B248" s="9"/>
      <c r="C248" s="9"/>
      <c r="D248" s="10"/>
    </row>
    <row r="249" spans="1:4" x14ac:dyDescent="0.3">
      <c r="C249" s="11"/>
    </row>
    <row r="250" spans="1:4" x14ac:dyDescent="0.3">
      <c r="A250" s="9"/>
      <c r="B250" s="9"/>
      <c r="C250" s="9"/>
      <c r="D250" s="10"/>
    </row>
    <row r="251" spans="1:4" x14ac:dyDescent="0.3">
      <c r="C251" s="11"/>
    </row>
    <row r="252" spans="1:4" x14ac:dyDescent="0.3">
      <c r="A252" s="9"/>
      <c r="B252" s="9"/>
      <c r="C252" s="9"/>
      <c r="D252" s="10"/>
    </row>
    <row r="253" spans="1:4" x14ac:dyDescent="0.3">
      <c r="C253" s="11"/>
    </row>
    <row r="254" spans="1:4" x14ac:dyDescent="0.3">
      <c r="A254" s="9"/>
      <c r="B254" s="9"/>
      <c r="C254" s="9"/>
      <c r="D254" s="10"/>
    </row>
    <row r="255" spans="1:4" x14ac:dyDescent="0.3">
      <c r="C255" s="11"/>
    </row>
    <row r="256" spans="1:4" x14ac:dyDescent="0.3">
      <c r="A256" s="9"/>
      <c r="B256" s="9"/>
      <c r="C256" s="9"/>
      <c r="D256" s="10"/>
    </row>
    <row r="257" spans="1:4" x14ac:dyDescent="0.3">
      <c r="C257" s="11"/>
    </row>
    <row r="258" spans="1:4" x14ac:dyDescent="0.3">
      <c r="A258" s="9"/>
      <c r="B258" s="9"/>
      <c r="C258" s="9"/>
      <c r="D258" s="10"/>
    </row>
    <row r="259" spans="1:4" x14ac:dyDescent="0.3">
      <c r="C259" s="11"/>
    </row>
    <row r="260" spans="1:4" x14ac:dyDescent="0.3">
      <c r="A260" s="9"/>
      <c r="B260" s="9"/>
      <c r="C260" s="9"/>
      <c r="D260" s="10"/>
    </row>
    <row r="261" spans="1:4" x14ac:dyDescent="0.3">
      <c r="C261" s="11"/>
    </row>
    <row r="262" spans="1:4" x14ac:dyDescent="0.3">
      <c r="A262" s="9"/>
      <c r="B262" s="9"/>
      <c r="C262" s="9"/>
      <c r="D262" s="10"/>
    </row>
    <row r="263" spans="1:4" x14ac:dyDescent="0.3">
      <c r="C263" s="11"/>
    </row>
    <row r="264" spans="1:4" x14ac:dyDescent="0.3">
      <c r="A264" s="9"/>
      <c r="B264" s="9"/>
      <c r="C264" s="9"/>
      <c r="D264" s="10"/>
    </row>
    <row r="265" spans="1:4" x14ac:dyDescent="0.3">
      <c r="C265" s="11"/>
    </row>
    <row r="266" spans="1:4" x14ac:dyDescent="0.3">
      <c r="A266" s="9"/>
      <c r="B266" s="9"/>
      <c r="C266" s="9"/>
      <c r="D266" s="10"/>
    </row>
    <row r="267" spans="1:4" x14ac:dyDescent="0.3">
      <c r="C267" s="11"/>
    </row>
    <row r="268" spans="1:4" x14ac:dyDescent="0.3">
      <c r="A268" s="9"/>
      <c r="B268" s="9"/>
      <c r="C268" s="9"/>
      <c r="D268" s="10"/>
    </row>
    <row r="269" spans="1:4" x14ac:dyDescent="0.3">
      <c r="C269" s="11"/>
    </row>
    <row r="270" spans="1:4" x14ac:dyDescent="0.3">
      <c r="A270" s="9"/>
      <c r="B270" s="9"/>
      <c r="C270" s="9"/>
      <c r="D270" s="10"/>
    </row>
    <row r="271" spans="1:4" x14ac:dyDescent="0.3">
      <c r="C271" s="11"/>
    </row>
    <row r="272" spans="1:4" x14ac:dyDescent="0.3">
      <c r="A272" s="9"/>
      <c r="B272" s="9"/>
      <c r="C272" s="9"/>
      <c r="D272" s="10"/>
    </row>
    <row r="273" spans="1:4" x14ac:dyDescent="0.3">
      <c r="C273" s="11"/>
    </row>
    <row r="274" spans="1:4" x14ac:dyDescent="0.3">
      <c r="A274" s="9"/>
      <c r="B274" s="9"/>
      <c r="C274" s="9"/>
      <c r="D274" s="10"/>
    </row>
    <row r="275" spans="1:4" x14ac:dyDescent="0.3">
      <c r="C275" s="11"/>
    </row>
    <row r="276" spans="1:4" x14ac:dyDescent="0.3">
      <c r="A276" s="9"/>
      <c r="B276" s="9"/>
      <c r="C276" s="9"/>
      <c r="D276" s="10"/>
    </row>
    <row r="277" spans="1:4" x14ac:dyDescent="0.3">
      <c r="C277" s="11"/>
    </row>
    <row r="278" spans="1:4" x14ac:dyDescent="0.3">
      <c r="A278" s="9"/>
      <c r="B278" s="9"/>
      <c r="C278" s="9"/>
      <c r="D278" s="10"/>
    </row>
    <row r="279" spans="1:4" x14ac:dyDescent="0.3">
      <c r="C279" s="11"/>
    </row>
    <row r="280" spans="1:4" x14ac:dyDescent="0.3">
      <c r="A280" s="9"/>
      <c r="B280" s="9"/>
      <c r="C280" s="9"/>
      <c r="D280" s="10"/>
    </row>
    <row r="281" spans="1:4" x14ac:dyDescent="0.3">
      <c r="C281" s="11"/>
    </row>
    <row r="282" spans="1:4" x14ac:dyDescent="0.3">
      <c r="A282" s="9"/>
      <c r="B282" s="9"/>
      <c r="C282" s="9"/>
      <c r="D282" s="10"/>
    </row>
    <row r="283" spans="1:4" x14ac:dyDescent="0.3">
      <c r="C283" s="11"/>
    </row>
    <row r="284" spans="1:4" x14ac:dyDescent="0.3">
      <c r="A284" s="9"/>
      <c r="B284" s="9"/>
      <c r="C284" s="9"/>
      <c r="D284" s="10"/>
    </row>
    <row r="285" spans="1:4" x14ac:dyDescent="0.3">
      <c r="C285" s="11"/>
    </row>
    <row r="286" spans="1:4" x14ac:dyDescent="0.3">
      <c r="A286" s="9"/>
      <c r="B286" s="9"/>
      <c r="C286" s="9"/>
      <c r="D286" s="10"/>
    </row>
    <row r="287" spans="1:4" x14ac:dyDescent="0.3">
      <c r="C287" s="11"/>
    </row>
    <row r="288" spans="1:4" x14ac:dyDescent="0.3">
      <c r="A288" s="9"/>
      <c r="B288" s="9"/>
      <c r="C288" s="9"/>
      <c r="D288" s="10"/>
    </row>
    <row r="289" spans="1:4" x14ac:dyDescent="0.3">
      <c r="C289" s="11"/>
    </row>
    <row r="290" spans="1:4" x14ac:dyDescent="0.3">
      <c r="A290" s="9"/>
      <c r="B290" s="9"/>
      <c r="C290" s="9"/>
      <c r="D290" s="10"/>
    </row>
    <row r="291" spans="1:4" x14ac:dyDescent="0.3">
      <c r="C291" s="11"/>
    </row>
    <row r="292" spans="1:4" x14ac:dyDescent="0.3">
      <c r="A292" s="9"/>
      <c r="B292" s="9"/>
      <c r="C292" s="9"/>
      <c r="D292" s="10"/>
    </row>
    <row r="293" spans="1:4" x14ac:dyDescent="0.3">
      <c r="C293" s="11"/>
    </row>
    <row r="294" spans="1:4" x14ac:dyDescent="0.3">
      <c r="A294" s="9"/>
      <c r="B294" s="9"/>
      <c r="C294" s="9"/>
      <c r="D294" s="10"/>
    </row>
    <row r="295" spans="1:4" x14ac:dyDescent="0.3">
      <c r="C295" s="11"/>
    </row>
    <row r="296" spans="1:4" x14ac:dyDescent="0.3">
      <c r="A296" s="9"/>
      <c r="B296" s="9"/>
      <c r="C296" s="9"/>
      <c r="D296" s="10"/>
    </row>
    <row r="297" spans="1:4" x14ac:dyDescent="0.3">
      <c r="C297" s="11"/>
    </row>
    <row r="298" spans="1:4" x14ac:dyDescent="0.3">
      <c r="A298" s="9"/>
      <c r="B298" s="9"/>
      <c r="C298" s="9"/>
      <c r="D298" s="10"/>
    </row>
    <row r="299" spans="1:4" x14ac:dyDescent="0.3">
      <c r="C299" s="11"/>
    </row>
    <row r="300" spans="1:4" x14ac:dyDescent="0.3">
      <c r="A300" s="9"/>
      <c r="B300" s="9"/>
      <c r="C300" s="9"/>
      <c r="D300" s="10"/>
    </row>
    <row r="301" spans="1:4" x14ac:dyDescent="0.3">
      <c r="C301" s="11"/>
    </row>
    <row r="302" spans="1:4" x14ac:dyDescent="0.3">
      <c r="A302" s="9"/>
      <c r="B302" s="9"/>
      <c r="C302" s="9"/>
      <c r="D302" s="10"/>
    </row>
    <row r="303" spans="1:4" x14ac:dyDescent="0.3">
      <c r="C303" s="11"/>
    </row>
    <row r="304" spans="1:4" x14ac:dyDescent="0.3">
      <c r="A304" s="9"/>
      <c r="B304" s="9"/>
      <c r="C304" s="9"/>
      <c r="D304" s="10"/>
    </row>
    <row r="305" spans="1:4" x14ac:dyDescent="0.3">
      <c r="C305" s="11"/>
    </row>
    <row r="306" spans="1:4" x14ac:dyDescent="0.3">
      <c r="A306" s="9"/>
      <c r="B306" s="9"/>
      <c r="C306" s="9"/>
      <c r="D306" s="10"/>
    </row>
    <row r="307" spans="1:4" x14ac:dyDescent="0.3">
      <c r="C307" s="11"/>
    </row>
    <row r="308" spans="1:4" x14ac:dyDescent="0.3">
      <c r="A308" s="9"/>
      <c r="B308" s="9"/>
      <c r="C308" s="9"/>
      <c r="D308" s="10"/>
    </row>
    <row r="309" spans="1:4" x14ac:dyDescent="0.3">
      <c r="C309" s="11"/>
    </row>
    <row r="310" spans="1:4" x14ac:dyDescent="0.3">
      <c r="A310" s="9"/>
      <c r="B310" s="9"/>
      <c r="C310" s="9"/>
      <c r="D310" s="10"/>
    </row>
    <row r="311" spans="1:4" x14ac:dyDescent="0.3">
      <c r="C311" s="11"/>
    </row>
    <row r="312" spans="1:4" x14ac:dyDescent="0.3">
      <c r="A312" s="9"/>
      <c r="B312" s="9"/>
      <c r="C312" s="9"/>
      <c r="D312" s="10"/>
    </row>
    <row r="313" spans="1:4" x14ac:dyDescent="0.3">
      <c r="C313" s="11"/>
    </row>
    <row r="314" spans="1:4" x14ac:dyDescent="0.3">
      <c r="A314" s="9"/>
      <c r="B314" s="9"/>
      <c r="C314" s="9"/>
      <c r="D314" s="10"/>
    </row>
    <row r="315" spans="1:4" x14ac:dyDescent="0.3">
      <c r="C315" s="11"/>
    </row>
    <row r="316" spans="1:4" x14ac:dyDescent="0.3">
      <c r="A316" s="9"/>
      <c r="B316" s="9"/>
      <c r="C316" s="9"/>
      <c r="D316" s="10"/>
    </row>
    <row r="317" spans="1:4" x14ac:dyDescent="0.3">
      <c r="C317" s="11"/>
    </row>
    <row r="318" spans="1:4" x14ac:dyDescent="0.3">
      <c r="A318" s="9"/>
      <c r="B318" s="9"/>
      <c r="C318" s="9"/>
      <c r="D318" s="10"/>
    </row>
    <row r="319" spans="1:4" x14ac:dyDescent="0.3">
      <c r="C319" s="11"/>
    </row>
    <row r="320" spans="1:4" x14ac:dyDescent="0.3">
      <c r="A320" s="9"/>
      <c r="B320" s="9"/>
      <c r="C320" s="9"/>
      <c r="D320" s="10"/>
    </row>
    <row r="321" spans="1:4" x14ac:dyDescent="0.3">
      <c r="C321" s="11"/>
    </row>
    <row r="322" spans="1:4" x14ac:dyDescent="0.3">
      <c r="A322" s="9"/>
      <c r="B322" s="9"/>
      <c r="C322" s="9"/>
      <c r="D322" s="10"/>
    </row>
    <row r="323" spans="1:4" x14ac:dyDescent="0.3">
      <c r="C323" s="11"/>
    </row>
    <row r="324" spans="1:4" x14ac:dyDescent="0.3">
      <c r="A324" s="9"/>
      <c r="B324" s="9"/>
      <c r="C324" s="9"/>
      <c r="D324" s="10"/>
    </row>
    <row r="325" spans="1:4" x14ac:dyDescent="0.3">
      <c r="C325" s="11"/>
    </row>
    <row r="326" spans="1:4" x14ac:dyDescent="0.3">
      <c r="A326" s="9"/>
      <c r="B326" s="9"/>
      <c r="C326" s="9"/>
      <c r="D326" s="10"/>
    </row>
    <row r="327" spans="1:4" x14ac:dyDescent="0.3">
      <c r="C327" s="11"/>
    </row>
    <row r="328" spans="1:4" x14ac:dyDescent="0.3">
      <c r="A328" s="9"/>
      <c r="B328" s="9"/>
      <c r="C328" s="9"/>
      <c r="D328" s="10"/>
    </row>
    <row r="329" spans="1:4" x14ac:dyDescent="0.3">
      <c r="C329" s="11"/>
    </row>
    <row r="330" spans="1:4" x14ac:dyDescent="0.3">
      <c r="A330" s="9"/>
      <c r="B330" s="9"/>
      <c r="C330" s="9"/>
      <c r="D330" s="10"/>
    </row>
    <row r="331" spans="1:4" x14ac:dyDescent="0.3">
      <c r="C331" s="11"/>
    </row>
    <row r="332" spans="1:4" x14ac:dyDescent="0.3">
      <c r="A332" s="9"/>
      <c r="B332" s="9"/>
      <c r="C332" s="9"/>
      <c r="D332" s="10"/>
    </row>
    <row r="333" spans="1:4" x14ac:dyDescent="0.3">
      <c r="C333" s="11"/>
    </row>
    <row r="334" spans="1:4" x14ac:dyDescent="0.3">
      <c r="A334" s="9"/>
      <c r="B334" s="9"/>
      <c r="C334" s="9"/>
      <c r="D334" s="10"/>
    </row>
    <row r="335" spans="1:4" x14ac:dyDescent="0.3">
      <c r="C335" s="11"/>
    </row>
    <row r="336" spans="1:4" x14ac:dyDescent="0.3">
      <c r="A336" s="9"/>
      <c r="B336" s="9"/>
      <c r="C336" s="9"/>
      <c r="D336" s="10"/>
    </row>
    <row r="337" spans="1:4" x14ac:dyDescent="0.3">
      <c r="C337" s="11"/>
    </row>
    <row r="338" spans="1:4" x14ac:dyDescent="0.3">
      <c r="A338" s="9"/>
      <c r="B338" s="9"/>
      <c r="C338" s="9"/>
      <c r="D338" s="10"/>
    </row>
    <row r="339" spans="1:4" x14ac:dyDescent="0.3">
      <c r="C339" s="11"/>
    </row>
    <row r="340" spans="1:4" x14ac:dyDescent="0.3">
      <c r="A340" s="9"/>
      <c r="B340" s="9"/>
      <c r="C340" s="9"/>
      <c r="D340" s="10"/>
    </row>
    <row r="341" spans="1:4" x14ac:dyDescent="0.3">
      <c r="C341" s="11"/>
    </row>
    <row r="342" spans="1:4" x14ac:dyDescent="0.3">
      <c r="A342" s="9"/>
      <c r="B342" s="9"/>
      <c r="C342" s="9"/>
      <c r="D342" s="10"/>
    </row>
    <row r="343" spans="1:4" x14ac:dyDescent="0.3">
      <c r="C343" s="11"/>
    </row>
    <row r="344" spans="1:4" x14ac:dyDescent="0.3">
      <c r="A344" s="9"/>
      <c r="B344" s="9"/>
      <c r="C344" s="9"/>
      <c r="D344" s="10"/>
    </row>
    <row r="345" spans="1:4" x14ac:dyDescent="0.3">
      <c r="C345" s="11"/>
    </row>
    <row r="346" spans="1:4" x14ac:dyDescent="0.3">
      <c r="A346" s="9"/>
      <c r="B346" s="9"/>
      <c r="C346" s="9"/>
      <c r="D346" s="10"/>
    </row>
    <row r="347" spans="1:4" x14ac:dyDescent="0.3">
      <c r="C347" s="11"/>
    </row>
    <row r="348" spans="1:4" x14ac:dyDescent="0.3">
      <c r="A348" s="9"/>
      <c r="B348" s="9"/>
      <c r="C348" s="9"/>
      <c r="D348" s="10"/>
    </row>
    <row r="349" spans="1:4" x14ac:dyDescent="0.3">
      <c r="C349" s="11"/>
    </row>
    <row r="350" spans="1:4" x14ac:dyDescent="0.3">
      <c r="A350" s="9"/>
      <c r="B350" s="9"/>
      <c r="C350" s="9"/>
      <c r="D350" s="10"/>
    </row>
    <row r="351" spans="1:4" x14ac:dyDescent="0.3">
      <c r="C351" s="11"/>
    </row>
    <row r="352" spans="1:4" x14ac:dyDescent="0.3">
      <c r="A352" s="9"/>
      <c r="B352" s="9"/>
      <c r="C352" s="9"/>
      <c r="D352" s="10"/>
    </row>
    <row r="353" spans="1:4" x14ac:dyDescent="0.3">
      <c r="C353" s="11"/>
    </row>
    <row r="354" spans="1:4" x14ac:dyDescent="0.3">
      <c r="A354" s="9"/>
      <c r="B354" s="9"/>
      <c r="C354" s="9"/>
      <c r="D354" s="10"/>
    </row>
    <row r="355" spans="1:4" x14ac:dyDescent="0.3">
      <c r="C355" s="11"/>
    </row>
    <row r="356" spans="1:4" x14ac:dyDescent="0.3">
      <c r="A356" s="9"/>
      <c r="B356" s="9"/>
      <c r="C356" s="9"/>
      <c r="D356" s="10"/>
    </row>
    <row r="357" spans="1:4" x14ac:dyDescent="0.3">
      <c r="C357" s="11"/>
    </row>
    <row r="358" spans="1:4" x14ac:dyDescent="0.3">
      <c r="A358" s="9"/>
      <c r="B358" s="9"/>
      <c r="C358" s="9"/>
      <c r="D358" s="10"/>
    </row>
    <row r="359" spans="1:4" x14ac:dyDescent="0.3">
      <c r="C359" s="11"/>
    </row>
    <row r="360" spans="1:4" x14ac:dyDescent="0.3">
      <c r="A360" s="9"/>
      <c r="B360" s="9"/>
      <c r="C360" s="9"/>
      <c r="D360" s="10"/>
    </row>
    <row r="361" spans="1:4" x14ac:dyDescent="0.3">
      <c r="C361" s="11"/>
    </row>
    <row r="362" spans="1:4" x14ac:dyDescent="0.3">
      <c r="A362" s="9"/>
      <c r="B362" s="9"/>
      <c r="C362" s="9"/>
      <c r="D362" s="10"/>
    </row>
    <row r="363" spans="1:4" x14ac:dyDescent="0.3">
      <c r="C363" s="11"/>
    </row>
    <row r="364" spans="1:4" x14ac:dyDescent="0.3">
      <c r="A364" s="9"/>
      <c r="B364" s="9"/>
      <c r="C364" s="9"/>
      <c r="D364" s="10"/>
    </row>
    <row r="365" spans="1:4" x14ac:dyDescent="0.3">
      <c r="C365" s="11"/>
    </row>
    <row r="366" spans="1:4" x14ac:dyDescent="0.3">
      <c r="A366" s="9"/>
      <c r="B366" s="9"/>
      <c r="C366" s="9"/>
      <c r="D366" s="10"/>
    </row>
    <row r="367" spans="1:4" x14ac:dyDescent="0.3">
      <c r="C367" s="11"/>
    </row>
    <row r="368" spans="1:4" x14ac:dyDescent="0.3">
      <c r="A368" s="9"/>
      <c r="B368" s="9"/>
      <c r="C368" s="9"/>
      <c r="D368" s="10"/>
    </row>
    <row r="369" spans="1:4" x14ac:dyDescent="0.3">
      <c r="C369" s="11"/>
    </row>
    <row r="370" spans="1:4" x14ac:dyDescent="0.3">
      <c r="A370" s="9"/>
      <c r="B370" s="9"/>
      <c r="C370" s="9"/>
      <c r="D370" s="10"/>
    </row>
    <row r="371" spans="1:4" x14ac:dyDescent="0.3">
      <c r="C371" s="1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01F1E-939A-4C45-AD02-DAF7023B6C4F}">
  <dimension ref="A1:M371"/>
  <sheetViews>
    <sheetView topLeftCell="A97" workbookViewId="0">
      <selection activeCell="I2" sqref="I2:I157"/>
    </sheetView>
  </sheetViews>
  <sheetFormatPr defaultColWidth="8.88671875" defaultRowHeight="14.4" x14ac:dyDescent="0.3"/>
  <cols>
    <col min="1" max="1" width="10.109375" style="11" bestFit="1" customWidth="1"/>
    <col min="2" max="2" width="8.5546875" style="11" bestFit="1" customWidth="1"/>
    <col min="3" max="3" width="15.33203125" style="12" bestFit="1" customWidth="1"/>
    <col min="4" max="4" width="11.88671875" style="12" bestFit="1" customWidth="1"/>
    <col min="5" max="5" width="7.6640625" style="11" bestFit="1" customWidth="1"/>
    <col min="6" max="6" width="12.33203125" style="11" bestFit="1" customWidth="1"/>
    <col min="7" max="7" width="14.77734375" style="11" bestFit="1" customWidth="1"/>
    <col min="8" max="9" width="12" style="11" bestFit="1" customWidth="1"/>
    <col min="10" max="12" width="8.88671875" style="11"/>
    <col min="13" max="13" width="11.33203125" style="11" bestFit="1" customWidth="1"/>
    <col min="14" max="16384" width="8.88671875" style="11"/>
  </cols>
  <sheetData>
    <row r="1" spans="1:13" s="5" customFormat="1" x14ac:dyDescent="0.3">
      <c r="A1" s="1" t="s">
        <v>0</v>
      </c>
      <c r="B1" s="2" t="s">
        <v>1</v>
      </c>
      <c r="C1" s="3" t="s">
        <v>2</v>
      </c>
      <c r="D1" s="3" t="s">
        <v>3</v>
      </c>
      <c r="E1" s="3" t="s">
        <v>4</v>
      </c>
      <c r="F1" s="3" t="s">
        <v>5</v>
      </c>
      <c r="G1" s="3" t="s">
        <v>34</v>
      </c>
      <c r="H1" s="4" t="s">
        <v>6</v>
      </c>
      <c r="I1" s="3" t="s">
        <v>33</v>
      </c>
      <c r="J1" s="6"/>
      <c r="K1" s="7"/>
      <c r="M1" s="8"/>
    </row>
    <row r="2" spans="1:13" x14ac:dyDescent="0.3">
      <c r="A2" s="9" t="s">
        <v>32</v>
      </c>
      <c r="B2" s="9" t="s">
        <v>28</v>
      </c>
      <c r="C2" s="9" t="s">
        <v>16</v>
      </c>
      <c r="D2" s="10" t="s">
        <v>17</v>
      </c>
      <c r="E2" s="11">
        <v>10</v>
      </c>
      <c r="F2" s="11">
        <v>2990</v>
      </c>
      <c r="G2" s="11">
        <v>932.10000000000014</v>
      </c>
      <c r="H2" s="11">
        <v>276.4152857142858</v>
      </c>
      <c r="I2" s="11">
        <f>IFERROR((F2/E2),0)</f>
        <v>299</v>
      </c>
    </row>
    <row r="3" spans="1:13" x14ac:dyDescent="0.3">
      <c r="A3" s="11" t="s">
        <v>32</v>
      </c>
      <c r="B3" s="11" t="s">
        <v>28</v>
      </c>
      <c r="C3" s="11" t="s">
        <v>10</v>
      </c>
      <c r="D3" s="12" t="s">
        <v>11</v>
      </c>
      <c r="E3" s="11">
        <v>5</v>
      </c>
      <c r="F3" s="11">
        <v>1675</v>
      </c>
      <c r="G3" s="11">
        <v>596.80000000000007</v>
      </c>
      <c r="H3" s="11">
        <v>148.77171428571444</v>
      </c>
      <c r="I3" s="11">
        <f t="shared" ref="I3:I66" si="0">IFERROR((F3/E3),0)</f>
        <v>335</v>
      </c>
    </row>
    <row r="4" spans="1:13" x14ac:dyDescent="0.3">
      <c r="A4" s="9" t="s">
        <v>32</v>
      </c>
      <c r="B4" s="9" t="s">
        <v>28</v>
      </c>
      <c r="C4" s="9" t="s">
        <v>24</v>
      </c>
      <c r="D4" s="10" t="s">
        <v>23</v>
      </c>
      <c r="E4" s="11">
        <v>5</v>
      </c>
      <c r="F4" s="11">
        <v>2250</v>
      </c>
      <c r="G4" s="11">
        <v>800.55000000000007</v>
      </c>
      <c r="H4" s="11">
        <v>199.04255357142887</v>
      </c>
      <c r="I4" s="11">
        <f t="shared" si="0"/>
        <v>450</v>
      </c>
    </row>
    <row r="5" spans="1:13" x14ac:dyDescent="0.3">
      <c r="A5" s="11" t="s">
        <v>32</v>
      </c>
      <c r="B5" s="11" t="s">
        <v>28</v>
      </c>
      <c r="C5" s="11" t="s">
        <v>16</v>
      </c>
      <c r="D5" s="12" t="s">
        <v>17</v>
      </c>
      <c r="E5" s="11">
        <v>10</v>
      </c>
      <c r="F5" s="11">
        <v>2990</v>
      </c>
      <c r="G5" s="11">
        <v>932.10000000000014</v>
      </c>
      <c r="H5" s="11">
        <v>276.4152857142858</v>
      </c>
      <c r="I5" s="11">
        <f t="shared" si="0"/>
        <v>299</v>
      </c>
    </row>
    <row r="6" spans="1:13" x14ac:dyDescent="0.3">
      <c r="A6" s="9" t="s">
        <v>32</v>
      </c>
      <c r="B6" s="9" t="s">
        <v>28</v>
      </c>
      <c r="C6" s="9" t="s">
        <v>18</v>
      </c>
      <c r="D6" s="10" t="s">
        <v>17</v>
      </c>
      <c r="E6" s="11">
        <v>5</v>
      </c>
      <c r="F6" s="11">
        <v>2875</v>
      </c>
      <c r="G6" s="11">
        <v>664.49999999999989</v>
      </c>
      <c r="H6" s="11">
        <v>280.98107142857174</v>
      </c>
      <c r="I6" s="11">
        <f t="shared" si="0"/>
        <v>575</v>
      </c>
    </row>
    <row r="7" spans="1:13" x14ac:dyDescent="0.3">
      <c r="A7" s="11" t="s">
        <v>32</v>
      </c>
      <c r="B7" s="11" t="s">
        <v>28</v>
      </c>
      <c r="C7" s="11" t="s">
        <v>10</v>
      </c>
      <c r="D7" s="12" t="s">
        <v>11</v>
      </c>
      <c r="E7" s="11">
        <v>5</v>
      </c>
      <c r="F7" s="11">
        <v>1675</v>
      </c>
      <c r="G7" s="11">
        <v>596.80000000000007</v>
      </c>
      <c r="H7" s="11">
        <v>148.77171428571444</v>
      </c>
      <c r="I7" s="11">
        <f t="shared" si="0"/>
        <v>335</v>
      </c>
    </row>
    <row r="8" spans="1:13" x14ac:dyDescent="0.3">
      <c r="A8" s="9" t="s">
        <v>32</v>
      </c>
      <c r="B8" s="9" t="s">
        <v>28</v>
      </c>
      <c r="C8" s="9" t="s">
        <v>15</v>
      </c>
      <c r="D8" s="10" t="s">
        <v>14</v>
      </c>
      <c r="E8" s="11">
        <v>10</v>
      </c>
      <c r="F8" s="11">
        <v>1650</v>
      </c>
      <c r="G8" s="11">
        <v>593.40000000000009</v>
      </c>
      <c r="H8" s="11">
        <v>145.63221428571438</v>
      </c>
      <c r="I8" s="11">
        <f t="shared" si="0"/>
        <v>165</v>
      </c>
    </row>
    <row r="9" spans="1:13" x14ac:dyDescent="0.3">
      <c r="A9" s="11" t="s">
        <v>32</v>
      </c>
      <c r="B9" s="11" t="s">
        <v>28</v>
      </c>
      <c r="C9" s="11" t="s">
        <v>13</v>
      </c>
      <c r="D9" s="12" t="s">
        <v>14</v>
      </c>
      <c r="E9" s="11">
        <v>5</v>
      </c>
      <c r="F9" s="11">
        <v>1875</v>
      </c>
      <c r="G9" s="11">
        <v>764.95</v>
      </c>
      <c r="H9" s="11">
        <v>157.45462500000002</v>
      </c>
      <c r="I9" s="11">
        <f t="shared" si="0"/>
        <v>375</v>
      </c>
    </row>
    <row r="10" spans="1:13" x14ac:dyDescent="0.3">
      <c r="A10" s="9" t="s">
        <v>32</v>
      </c>
      <c r="B10" s="9" t="s">
        <v>28</v>
      </c>
      <c r="C10" s="9" t="s">
        <v>24</v>
      </c>
      <c r="D10" s="10" t="s">
        <v>23</v>
      </c>
      <c r="E10" s="11">
        <v>5</v>
      </c>
      <c r="F10" s="11">
        <v>2250</v>
      </c>
      <c r="G10" s="11">
        <v>800.55000000000007</v>
      </c>
      <c r="H10" s="11">
        <v>199.04255357142887</v>
      </c>
      <c r="I10" s="11">
        <f t="shared" si="0"/>
        <v>450</v>
      </c>
    </row>
    <row r="11" spans="1:13" x14ac:dyDescent="0.3">
      <c r="A11" s="11" t="s">
        <v>32</v>
      </c>
      <c r="B11" s="11" t="s">
        <v>28</v>
      </c>
      <c r="C11" s="11" t="s">
        <v>16</v>
      </c>
      <c r="D11" s="12" t="s">
        <v>17</v>
      </c>
      <c r="E11" s="11">
        <v>25</v>
      </c>
      <c r="F11" s="11">
        <v>7475</v>
      </c>
      <c r="G11" s="11">
        <v>2330.2500000000005</v>
      </c>
      <c r="H11" s="11">
        <v>691.0382142857145</v>
      </c>
      <c r="I11" s="11">
        <f t="shared" si="0"/>
        <v>299</v>
      </c>
    </row>
    <row r="12" spans="1:13" x14ac:dyDescent="0.3">
      <c r="A12" s="9" t="s">
        <v>32</v>
      </c>
      <c r="B12" s="9" t="s">
        <v>28</v>
      </c>
      <c r="C12" s="9" t="s">
        <v>10</v>
      </c>
      <c r="D12" s="10" t="s">
        <v>11</v>
      </c>
      <c r="E12" s="11">
        <v>5</v>
      </c>
      <c r="F12" s="11">
        <v>1675</v>
      </c>
      <c r="G12" s="11">
        <v>596.80000000000007</v>
      </c>
      <c r="H12" s="11">
        <v>148.77171428571444</v>
      </c>
      <c r="I12" s="11">
        <f t="shared" si="0"/>
        <v>335</v>
      </c>
    </row>
    <row r="13" spans="1:13" x14ac:dyDescent="0.3">
      <c r="A13" s="11" t="s">
        <v>32</v>
      </c>
      <c r="B13" s="11" t="s">
        <v>28</v>
      </c>
      <c r="C13" s="11" t="s">
        <v>12</v>
      </c>
      <c r="D13" s="12" t="s">
        <v>11</v>
      </c>
      <c r="E13" s="11">
        <v>5</v>
      </c>
      <c r="F13" s="11">
        <v>3000</v>
      </c>
      <c r="G13" s="11">
        <v>759.7</v>
      </c>
      <c r="H13" s="11">
        <v>292.12585714285751</v>
      </c>
      <c r="I13" s="11">
        <f t="shared" si="0"/>
        <v>600</v>
      </c>
    </row>
    <row r="14" spans="1:13" x14ac:dyDescent="0.3">
      <c r="A14" s="9" t="s">
        <v>32</v>
      </c>
      <c r="B14" s="9" t="s">
        <v>28</v>
      </c>
      <c r="C14" s="9" t="s">
        <v>22</v>
      </c>
      <c r="D14" s="10" t="s">
        <v>23</v>
      </c>
      <c r="E14" s="11">
        <v>5</v>
      </c>
      <c r="F14" s="11">
        <v>995</v>
      </c>
      <c r="G14" s="11">
        <v>272.8</v>
      </c>
      <c r="H14" s="11">
        <v>94.331142857142964</v>
      </c>
      <c r="I14" s="11">
        <f t="shared" si="0"/>
        <v>199</v>
      </c>
    </row>
    <row r="15" spans="1:13" x14ac:dyDescent="0.3">
      <c r="A15" s="11" t="s">
        <v>32</v>
      </c>
      <c r="B15" s="11" t="s">
        <v>28</v>
      </c>
      <c r="C15" s="11" t="s">
        <v>24</v>
      </c>
      <c r="D15" s="12" t="s">
        <v>23</v>
      </c>
      <c r="E15" s="11">
        <v>15</v>
      </c>
      <c r="F15" s="11">
        <v>6750</v>
      </c>
      <c r="G15" s="11">
        <v>2401.65</v>
      </c>
      <c r="H15" s="11">
        <v>597.12766071428632</v>
      </c>
      <c r="I15" s="11">
        <f t="shared" si="0"/>
        <v>450</v>
      </c>
    </row>
    <row r="16" spans="1:13" x14ac:dyDescent="0.3">
      <c r="A16" s="9" t="s">
        <v>32</v>
      </c>
      <c r="B16" s="9" t="s">
        <v>28</v>
      </c>
      <c r="C16" s="9" t="s">
        <v>16</v>
      </c>
      <c r="D16" s="10" t="s">
        <v>17</v>
      </c>
      <c r="E16" s="11">
        <v>15</v>
      </c>
      <c r="F16" s="11">
        <v>4485</v>
      </c>
      <c r="G16" s="11">
        <v>1398.15</v>
      </c>
      <c r="H16" s="11">
        <v>414.6229285714287</v>
      </c>
      <c r="I16" s="11">
        <f t="shared" si="0"/>
        <v>299</v>
      </c>
    </row>
    <row r="17" spans="1:9" x14ac:dyDescent="0.3">
      <c r="A17" s="11" t="s">
        <v>32</v>
      </c>
      <c r="B17" s="11" t="s">
        <v>28</v>
      </c>
      <c r="C17" s="11" t="s">
        <v>10</v>
      </c>
      <c r="D17" s="12" t="s">
        <v>11</v>
      </c>
      <c r="E17" s="11">
        <v>5</v>
      </c>
      <c r="F17" s="11">
        <v>1675</v>
      </c>
      <c r="G17" s="11">
        <v>596.80000000000007</v>
      </c>
      <c r="H17" s="11">
        <v>148.77171428571444</v>
      </c>
      <c r="I17" s="11">
        <f t="shared" si="0"/>
        <v>335</v>
      </c>
    </row>
    <row r="18" spans="1:9" x14ac:dyDescent="0.3">
      <c r="A18" s="9" t="s">
        <v>32</v>
      </c>
      <c r="B18" s="9" t="s">
        <v>28</v>
      </c>
      <c r="C18" s="9" t="s">
        <v>12</v>
      </c>
      <c r="D18" s="10" t="s">
        <v>11</v>
      </c>
      <c r="E18" s="11">
        <v>10</v>
      </c>
      <c r="F18" s="11">
        <v>6000</v>
      </c>
      <c r="G18" s="11">
        <v>1283.6000000000001</v>
      </c>
      <c r="H18" s="11">
        <v>593.3468571428574</v>
      </c>
      <c r="I18" s="11">
        <f t="shared" si="0"/>
        <v>600</v>
      </c>
    </row>
    <row r="19" spans="1:9" x14ac:dyDescent="0.3">
      <c r="A19" s="11" t="s">
        <v>32</v>
      </c>
      <c r="B19" s="11" t="s">
        <v>28</v>
      </c>
      <c r="C19" s="11" t="s">
        <v>15</v>
      </c>
      <c r="D19" s="12" t="s">
        <v>14</v>
      </c>
      <c r="E19" s="11">
        <v>5</v>
      </c>
      <c r="F19" s="11">
        <v>825</v>
      </c>
      <c r="G19" s="11">
        <v>296.70000000000005</v>
      </c>
      <c r="H19" s="11">
        <v>72.816107142857192</v>
      </c>
      <c r="I19" s="11">
        <f t="shared" si="0"/>
        <v>165</v>
      </c>
    </row>
    <row r="20" spans="1:9" x14ac:dyDescent="0.3">
      <c r="A20" s="9" t="s">
        <v>32</v>
      </c>
      <c r="B20" s="9" t="s">
        <v>28</v>
      </c>
      <c r="C20" s="9" t="s">
        <v>13</v>
      </c>
      <c r="D20" s="10" t="s">
        <v>14</v>
      </c>
      <c r="E20" s="11">
        <v>5</v>
      </c>
      <c r="F20" s="11">
        <v>1875</v>
      </c>
      <c r="G20" s="11">
        <v>764.95</v>
      </c>
      <c r="H20" s="11">
        <v>157.45462500000002</v>
      </c>
      <c r="I20" s="11">
        <f t="shared" si="0"/>
        <v>375</v>
      </c>
    </row>
    <row r="21" spans="1:9" x14ac:dyDescent="0.3">
      <c r="A21" s="11" t="s">
        <v>32</v>
      </c>
      <c r="B21" s="11" t="s">
        <v>28</v>
      </c>
      <c r="C21" s="11" t="s">
        <v>16</v>
      </c>
      <c r="D21" s="12" t="s">
        <v>17</v>
      </c>
      <c r="E21" s="11">
        <v>5</v>
      </c>
      <c r="F21" s="11">
        <v>1495</v>
      </c>
      <c r="G21" s="11">
        <v>466.05000000000007</v>
      </c>
      <c r="H21" s="11">
        <v>138.2076428571429</v>
      </c>
      <c r="I21" s="11">
        <f t="shared" si="0"/>
        <v>299</v>
      </c>
    </row>
    <row r="22" spans="1:9" x14ac:dyDescent="0.3">
      <c r="A22" s="9" t="s">
        <v>32</v>
      </c>
      <c r="B22" s="9" t="s">
        <v>28</v>
      </c>
      <c r="C22" s="9" t="s">
        <v>10</v>
      </c>
      <c r="D22" s="10" t="s">
        <v>11</v>
      </c>
      <c r="E22" s="11">
        <v>10</v>
      </c>
      <c r="F22" s="11">
        <v>3350</v>
      </c>
      <c r="G22" s="11">
        <v>1193.6000000000001</v>
      </c>
      <c r="H22" s="11">
        <v>297.54342857142888</v>
      </c>
      <c r="I22" s="11">
        <f t="shared" si="0"/>
        <v>335</v>
      </c>
    </row>
    <row r="23" spans="1:9" x14ac:dyDescent="0.3">
      <c r="A23" s="11" t="s">
        <v>32</v>
      </c>
      <c r="B23" s="11" t="s">
        <v>28</v>
      </c>
      <c r="C23" s="11" t="s">
        <v>12</v>
      </c>
      <c r="D23" s="12" t="s">
        <v>11</v>
      </c>
      <c r="E23" s="11">
        <v>10</v>
      </c>
      <c r="F23" s="11">
        <v>6000</v>
      </c>
      <c r="G23" s="11">
        <v>1401.5</v>
      </c>
      <c r="H23" s="11">
        <v>588.7992857142865</v>
      </c>
      <c r="I23" s="11">
        <f t="shared" si="0"/>
        <v>600</v>
      </c>
    </row>
    <row r="24" spans="1:9" x14ac:dyDescent="0.3">
      <c r="A24" s="9" t="s">
        <v>32</v>
      </c>
      <c r="B24" s="9" t="s">
        <v>28</v>
      </c>
      <c r="C24" s="9" t="s">
        <v>16</v>
      </c>
      <c r="D24" s="10" t="s">
        <v>17</v>
      </c>
      <c r="E24" s="11">
        <v>15</v>
      </c>
      <c r="F24" s="11">
        <v>4485</v>
      </c>
      <c r="G24" s="11">
        <v>1346.75</v>
      </c>
      <c r="H24" s="11">
        <v>417.04607142857185</v>
      </c>
      <c r="I24" s="11">
        <f t="shared" si="0"/>
        <v>299</v>
      </c>
    </row>
    <row r="25" spans="1:9" x14ac:dyDescent="0.3">
      <c r="A25" s="11" t="s">
        <v>32</v>
      </c>
      <c r="B25" s="11" t="s">
        <v>28</v>
      </c>
      <c r="C25" s="11" t="s">
        <v>18</v>
      </c>
      <c r="D25" s="12" t="s">
        <v>17</v>
      </c>
      <c r="E25" s="11">
        <v>10</v>
      </c>
      <c r="F25" s="11">
        <v>5750</v>
      </c>
      <c r="G25" s="11">
        <v>1550</v>
      </c>
      <c r="H25" s="11">
        <v>552.96428571428635</v>
      </c>
      <c r="I25" s="11">
        <f t="shared" si="0"/>
        <v>575</v>
      </c>
    </row>
    <row r="26" spans="1:9" x14ac:dyDescent="0.3">
      <c r="A26" s="9" t="s">
        <v>32</v>
      </c>
      <c r="B26" s="9" t="s">
        <v>28</v>
      </c>
      <c r="C26" s="9" t="s">
        <v>10</v>
      </c>
      <c r="D26" s="10" t="s">
        <v>11</v>
      </c>
      <c r="E26" s="11">
        <v>0</v>
      </c>
      <c r="F26" s="11">
        <v>0</v>
      </c>
      <c r="G26" s="11">
        <v>0</v>
      </c>
      <c r="H26" s="11">
        <v>0</v>
      </c>
      <c r="I26" s="11">
        <f t="shared" si="0"/>
        <v>0</v>
      </c>
    </row>
    <row r="27" spans="1:9" x14ac:dyDescent="0.3">
      <c r="A27" s="11" t="s">
        <v>32</v>
      </c>
      <c r="B27" s="11" t="s">
        <v>28</v>
      </c>
      <c r="C27" s="11" t="s">
        <v>15</v>
      </c>
      <c r="D27" s="12" t="s">
        <v>14</v>
      </c>
      <c r="E27" s="11">
        <v>5</v>
      </c>
      <c r="F27" s="11">
        <v>825</v>
      </c>
      <c r="G27" s="11">
        <v>323.10000000000002</v>
      </c>
      <c r="H27" s="11">
        <v>71.430107142857224</v>
      </c>
      <c r="I27" s="11">
        <f t="shared" si="0"/>
        <v>165</v>
      </c>
    </row>
    <row r="28" spans="1:9" x14ac:dyDescent="0.3">
      <c r="A28" s="9" t="s">
        <v>32</v>
      </c>
      <c r="B28" s="9" t="s">
        <v>28</v>
      </c>
      <c r="C28" s="9" t="s">
        <v>24</v>
      </c>
      <c r="D28" s="10" t="s">
        <v>23</v>
      </c>
      <c r="E28" s="11">
        <v>10</v>
      </c>
      <c r="F28" s="11">
        <v>4500</v>
      </c>
      <c r="G28" s="11">
        <v>1532</v>
      </c>
      <c r="H28" s="11">
        <v>401.71285714285773</v>
      </c>
      <c r="I28" s="11">
        <f t="shared" si="0"/>
        <v>450</v>
      </c>
    </row>
    <row r="29" spans="1:9" x14ac:dyDescent="0.3">
      <c r="A29" s="11" t="s">
        <v>32</v>
      </c>
      <c r="B29" s="11" t="s">
        <v>28</v>
      </c>
      <c r="C29" s="11" t="s">
        <v>16</v>
      </c>
      <c r="D29" s="12" t="s">
        <v>17</v>
      </c>
      <c r="E29" s="11">
        <v>10</v>
      </c>
      <c r="F29" s="11">
        <v>2990</v>
      </c>
      <c r="G29" s="11">
        <v>932.10000000000014</v>
      </c>
      <c r="H29" s="11">
        <v>276.4152857142858</v>
      </c>
      <c r="I29" s="11">
        <f t="shared" si="0"/>
        <v>299</v>
      </c>
    </row>
    <row r="30" spans="1:9" x14ac:dyDescent="0.3">
      <c r="A30" s="9" t="s">
        <v>32</v>
      </c>
      <c r="B30" s="9" t="s">
        <v>28</v>
      </c>
      <c r="C30" s="9" t="s">
        <v>18</v>
      </c>
      <c r="D30" s="10" t="s">
        <v>17</v>
      </c>
      <c r="E30" s="11">
        <v>10</v>
      </c>
      <c r="F30" s="11">
        <v>5750</v>
      </c>
      <c r="G30" s="11">
        <v>1328.9999999999998</v>
      </c>
      <c r="H30" s="11">
        <v>561.96214285714348</v>
      </c>
      <c r="I30" s="11">
        <f t="shared" si="0"/>
        <v>575</v>
      </c>
    </row>
    <row r="31" spans="1:9" x14ac:dyDescent="0.3">
      <c r="A31" s="11" t="s">
        <v>32</v>
      </c>
      <c r="B31" s="11" t="s">
        <v>28</v>
      </c>
      <c r="C31" s="11" t="s">
        <v>10</v>
      </c>
      <c r="D31" s="12" t="s">
        <v>11</v>
      </c>
      <c r="E31" s="11">
        <v>5</v>
      </c>
      <c r="F31" s="11">
        <v>1675</v>
      </c>
      <c r="G31" s="11">
        <v>596.80000000000007</v>
      </c>
      <c r="H31" s="11">
        <v>148.77171428571444</v>
      </c>
      <c r="I31" s="11">
        <f t="shared" si="0"/>
        <v>335</v>
      </c>
    </row>
    <row r="32" spans="1:9" x14ac:dyDescent="0.3">
      <c r="A32" s="9" t="s">
        <v>32</v>
      </c>
      <c r="B32" s="9" t="s">
        <v>28</v>
      </c>
      <c r="C32" s="9" t="s">
        <v>12</v>
      </c>
      <c r="D32" s="10" t="s">
        <v>11</v>
      </c>
      <c r="E32" s="11">
        <v>10</v>
      </c>
      <c r="F32" s="11">
        <v>6000</v>
      </c>
      <c r="G32" s="11">
        <v>1168.6000000000001</v>
      </c>
      <c r="H32" s="11">
        <v>597.78257142857171</v>
      </c>
      <c r="I32" s="11">
        <f t="shared" si="0"/>
        <v>600</v>
      </c>
    </row>
    <row r="33" spans="1:9" x14ac:dyDescent="0.3">
      <c r="A33" s="11" t="s">
        <v>32</v>
      </c>
      <c r="B33" s="11" t="s">
        <v>28</v>
      </c>
      <c r="C33" s="11" t="s">
        <v>15</v>
      </c>
      <c r="D33" s="12" t="s">
        <v>14</v>
      </c>
      <c r="E33" s="11">
        <v>10</v>
      </c>
      <c r="F33" s="11">
        <v>1650</v>
      </c>
      <c r="G33" s="11">
        <v>619.80000000000007</v>
      </c>
      <c r="H33" s="11">
        <v>144.24621428571442</v>
      </c>
      <c r="I33" s="11">
        <f t="shared" si="0"/>
        <v>165</v>
      </c>
    </row>
    <row r="34" spans="1:9" x14ac:dyDescent="0.3">
      <c r="A34" s="9" t="s">
        <v>32</v>
      </c>
      <c r="B34" s="9" t="s">
        <v>28</v>
      </c>
      <c r="C34" s="9" t="s">
        <v>13</v>
      </c>
      <c r="D34" s="10" t="s">
        <v>14</v>
      </c>
      <c r="E34" s="11">
        <v>15</v>
      </c>
      <c r="F34" s="11">
        <v>5625</v>
      </c>
      <c r="G34" s="11">
        <v>2350.3500000000004</v>
      </c>
      <c r="H34" s="11">
        <v>469.21226785714339</v>
      </c>
      <c r="I34" s="11">
        <f t="shared" si="0"/>
        <v>375</v>
      </c>
    </row>
    <row r="35" spans="1:9" x14ac:dyDescent="0.3">
      <c r="A35" s="11" t="s">
        <v>32</v>
      </c>
      <c r="B35" s="11" t="s">
        <v>28</v>
      </c>
      <c r="C35" s="11" t="s">
        <v>16</v>
      </c>
      <c r="D35" s="12" t="s">
        <v>17</v>
      </c>
      <c r="E35" s="11">
        <v>20</v>
      </c>
      <c r="F35" s="11">
        <v>5980</v>
      </c>
      <c r="G35" s="11">
        <v>1812.8000000000002</v>
      </c>
      <c r="H35" s="11">
        <v>555.25371428571475</v>
      </c>
      <c r="I35" s="11">
        <f t="shared" si="0"/>
        <v>299</v>
      </c>
    </row>
    <row r="36" spans="1:9" x14ac:dyDescent="0.3">
      <c r="A36" s="9" t="s">
        <v>32</v>
      </c>
      <c r="B36" s="9" t="s">
        <v>28</v>
      </c>
      <c r="C36" s="9" t="s">
        <v>18</v>
      </c>
      <c r="D36" s="10" t="s">
        <v>17</v>
      </c>
      <c r="E36" s="11">
        <v>35</v>
      </c>
      <c r="F36" s="11">
        <v>20125</v>
      </c>
      <c r="G36" s="11">
        <v>5093.5</v>
      </c>
      <c r="H36" s="11">
        <v>1948.8717857142865</v>
      </c>
      <c r="I36" s="11">
        <f t="shared" si="0"/>
        <v>575</v>
      </c>
    </row>
    <row r="37" spans="1:9" x14ac:dyDescent="0.3">
      <c r="A37" s="11" t="s">
        <v>32</v>
      </c>
      <c r="B37" s="11" t="s">
        <v>28</v>
      </c>
      <c r="C37" s="11" t="s">
        <v>10</v>
      </c>
      <c r="D37" s="12" t="s">
        <v>11</v>
      </c>
      <c r="E37" s="11">
        <v>10</v>
      </c>
      <c r="F37" s="11">
        <v>3350</v>
      </c>
      <c r="G37" s="11">
        <v>1193.6000000000001</v>
      </c>
      <c r="H37" s="11">
        <v>297.54342857142888</v>
      </c>
      <c r="I37" s="11">
        <f t="shared" si="0"/>
        <v>335</v>
      </c>
    </row>
    <row r="38" spans="1:9" x14ac:dyDescent="0.3">
      <c r="A38" s="9" t="s">
        <v>32</v>
      </c>
      <c r="B38" s="9" t="s">
        <v>28</v>
      </c>
      <c r="C38" s="9" t="s">
        <v>12</v>
      </c>
      <c r="D38" s="10" t="s">
        <v>11</v>
      </c>
      <c r="E38" s="11">
        <v>0</v>
      </c>
      <c r="F38" s="11">
        <v>0</v>
      </c>
      <c r="G38" s="11">
        <v>0</v>
      </c>
      <c r="H38" s="11">
        <v>0</v>
      </c>
      <c r="I38" s="11">
        <f t="shared" si="0"/>
        <v>0</v>
      </c>
    </row>
    <row r="39" spans="1:9" x14ac:dyDescent="0.3">
      <c r="A39" s="11" t="s">
        <v>32</v>
      </c>
      <c r="B39" s="11" t="s">
        <v>28</v>
      </c>
      <c r="C39" s="11" t="s">
        <v>15</v>
      </c>
      <c r="D39" s="12" t="s">
        <v>14</v>
      </c>
      <c r="E39" s="11">
        <v>80</v>
      </c>
      <c r="F39" s="11">
        <v>13200</v>
      </c>
      <c r="G39" s="11">
        <v>4748.5000000000009</v>
      </c>
      <c r="H39" s="11">
        <v>1164.9894642857157</v>
      </c>
      <c r="I39" s="11">
        <f t="shared" si="0"/>
        <v>165</v>
      </c>
    </row>
    <row r="40" spans="1:9" x14ac:dyDescent="0.3">
      <c r="A40" s="9" t="s">
        <v>32</v>
      </c>
      <c r="B40" s="9" t="s">
        <v>28</v>
      </c>
      <c r="C40" s="9" t="s">
        <v>13</v>
      </c>
      <c r="D40" s="10" t="s">
        <v>14</v>
      </c>
      <c r="E40" s="11">
        <v>10</v>
      </c>
      <c r="F40" s="11">
        <v>3750</v>
      </c>
      <c r="G40" s="11">
        <v>1585.4</v>
      </c>
      <c r="H40" s="11">
        <v>311.75764285714308</v>
      </c>
      <c r="I40" s="11">
        <f t="shared" si="0"/>
        <v>375</v>
      </c>
    </row>
    <row r="41" spans="1:9" x14ac:dyDescent="0.3">
      <c r="A41" s="11" t="s">
        <v>32</v>
      </c>
      <c r="B41" s="11" t="s">
        <v>28</v>
      </c>
      <c r="C41" s="11" t="s">
        <v>16</v>
      </c>
      <c r="D41" s="12" t="s">
        <v>17</v>
      </c>
      <c r="E41" s="11">
        <v>5</v>
      </c>
      <c r="F41" s="11">
        <v>1495</v>
      </c>
      <c r="G41" s="11">
        <v>466.05000000000007</v>
      </c>
      <c r="H41" s="11">
        <v>138.2076428571429</v>
      </c>
      <c r="I41" s="11">
        <f t="shared" si="0"/>
        <v>299</v>
      </c>
    </row>
    <row r="42" spans="1:9" x14ac:dyDescent="0.3">
      <c r="A42" s="9" t="s">
        <v>32</v>
      </c>
      <c r="B42" s="9" t="s">
        <v>28</v>
      </c>
      <c r="C42" s="9" t="s">
        <v>10</v>
      </c>
      <c r="D42" s="10" t="s">
        <v>11</v>
      </c>
      <c r="E42" s="11">
        <v>10</v>
      </c>
      <c r="F42" s="11">
        <v>3350</v>
      </c>
      <c r="G42" s="11">
        <v>1193.6000000000001</v>
      </c>
      <c r="H42" s="11">
        <v>297.54342857142888</v>
      </c>
      <c r="I42" s="11">
        <f t="shared" si="0"/>
        <v>335</v>
      </c>
    </row>
    <row r="43" spans="1:9" x14ac:dyDescent="0.3">
      <c r="A43" s="11" t="s">
        <v>32</v>
      </c>
      <c r="B43" s="11" t="s">
        <v>28</v>
      </c>
      <c r="C43" s="11" t="s">
        <v>12</v>
      </c>
      <c r="D43" s="12" t="s">
        <v>11</v>
      </c>
      <c r="E43" s="11">
        <v>5</v>
      </c>
      <c r="F43" s="11">
        <v>3000</v>
      </c>
      <c r="G43" s="11">
        <v>759.7</v>
      </c>
      <c r="H43" s="11">
        <v>292.12585714285751</v>
      </c>
      <c r="I43" s="11">
        <f t="shared" si="0"/>
        <v>600</v>
      </c>
    </row>
    <row r="44" spans="1:9" x14ac:dyDescent="0.3">
      <c r="A44" s="9" t="s">
        <v>32</v>
      </c>
      <c r="B44" s="9" t="s">
        <v>28</v>
      </c>
      <c r="C44" s="9" t="s">
        <v>15</v>
      </c>
      <c r="D44" s="10" t="s">
        <v>14</v>
      </c>
      <c r="E44" s="11">
        <v>5</v>
      </c>
      <c r="F44" s="11">
        <v>825</v>
      </c>
      <c r="G44" s="11">
        <v>296.70000000000005</v>
      </c>
      <c r="H44" s="11">
        <v>72.816107142857192</v>
      </c>
      <c r="I44" s="11">
        <f t="shared" si="0"/>
        <v>165</v>
      </c>
    </row>
    <row r="45" spans="1:9" x14ac:dyDescent="0.3">
      <c r="A45" s="11" t="s">
        <v>32</v>
      </c>
      <c r="B45" s="11" t="s">
        <v>28</v>
      </c>
      <c r="C45" s="11" t="s">
        <v>13</v>
      </c>
      <c r="D45" s="12" t="s">
        <v>14</v>
      </c>
      <c r="E45" s="11">
        <v>10</v>
      </c>
      <c r="F45" s="11">
        <v>3750</v>
      </c>
      <c r="G45" s="11">
        <v>1529.9</v>
      </c>
      <c r="H45" s="11">
        <v>314.90925000000004</v>
      </c>
      <c r="I45" s="11">
        <f t="shared" si="0"/>
        <v>375</v>
      </c>
    </row>
    <row r="46" spans="1:9" x14ac:dyDescent="0.3">
      <c r="A46" s="9" t="s">
        <v>32</v>
      </c>
      <c r="B46" s="9" t="s">
        <v>28</v>
      </c>
      <c r="C46" s="9" t="s">
        <v>24</v>
      </c>
      <c r="D46" s="10" t="s">
        <v>23</v>
      </c>
      <c r="E46" s="11">
        <v>5</v>
      </c>
      <c r="F46" s="11">
        <v>2250</v>
      </c>
      <c r="G46" s="11">
        <v>800.55000000000007</v>
      </c>
      <c r="H46" s="11">
        <v>199.04255357142887</v>
      </c>
      <c r="I46" s="11">
        <f t="shared" si="0"/>
        <v>450</v>
      </c>
    </row>
    <row r="47" spans="1:9" x14ac:dyDescent="0.3">
      <c r="A47" s="11" t="s">
        <v>32</v>
      </c>
      <c r="B47" s="11" t="s">
        <v>28</v>
      </c>
      <c r="C47" s="11" t="s">
        <v>16</v>
      </c>
      <c r="D47" s="12" t="s">
        <v>17</v>
      </c>
      <c r="E47" s="11">
        <v>10</v>
      </c>
      <c r="F47" s="11">
        <v>2990</v>
      </c>
      <c r="G47" s="11">
        <v>932.10000000000014</v>
      </c>
      <c r="H47" s="11">
        <v>276.4152857142858</v>
      </c>
      <c r="I47" s="11">
        <f t="shared" si="0"/>
        <v>299</v>
      </c>
    </row>
    <row r="48" spans="1:9" x14ac:dyDescent="0.3">
      <c r="A48" s="9" t="s">
        <v>32</v>
      </c>
      <c r="B48" s="9" t="s">
        <v>28</v>
      </c>
      <c r="C48" s="9" t="s">
        <v>18</v>
      </c>
      <c r="D48" s="10" t="s">
        <v>17</v>
      </c>
      <c r="E48" s="11">
        <v>15</v>
      </c>
      <c r="F48" s="11">
        <v>8625</v>
      </c>
      <c r="G48" s="11">
        <v>2104</v>
      </c>
      <c r="H48" s="11">
        <v>838.44428571428693</v>
      </c>
      <c r="I48" s="11">
        <f t="shared" si="0"/>
        <v>575</v>
      </c>
    </row>
    <row r="49" spans="1:9" x14ac:dyDescent="0.3">
      <c r="A49" s="11" t="s">
        <v>32</v>
      </c>
      <c r="B49" s="11" t="s">
        <v>28</v>
      </c>
      <c r="C49" s="11" t="s">
        <v>10</v>
      </c>
      <c r="D49" s="12" t="s">
        <v>11</v>
      </c>
      <c r="E49" s="11">
        <v>10</v>
      </c>
      <c r="F49" s="11">
        <v>3350</v>
      </c>
      <c r="G49" s="11">
        <v>1193.6000000000001</v>
      </c>
      <c r="H49" s="11">
        <v>297.54342857142888</v>
      </c>
      <c r="I49" s="11">
        <f t="shared" si="0"/>
        <v>335</v>
      </c>
    </row>
    <row r="50" spans="1:9" x14ac:dyDescent="0.3">
      <c r="A50" s="9" t="s">
        <v>32</v>
      </c>
      <c r="B50" s="9" t="s">
        <v>28</v>
      </c>
      <c r="C50" s="9" t="s">
        <v>12</v>
      </c>
      <c r="D50" s="10" t="s">
        <v>11</v>
      </c>
      <c r="E50" s="11">
        <v>5</v>
      </c>
      <c r="F50" s="11">
        <v>3000</v>
      </c>
      <c r="G50" s="11">
        <v>641.80000000000007</v>
      </c>
      <c r="H50" s="11">
        <v>296.6734285714287</v>
      </c>
      <c r="I50" s="11">
        <f t="shared" si="0"/>
        <v>600</v>
      </c>
    </row>
    <row r="51" spans="1:9" x14ac:dyDescent="0.3">
      <c r="A51" s="11" t="s">
        <v>32</v>
      </c>
      <c r="B51" s="11" t="s">
        <v>28</v>
      </c>
      <c r="C51" s="11" t="s">
        <v>22</v>
      </c>
      <c r="D51" s="12" t="s">
        <v>23</v>
      </c>
      <c r="E51" s="11">
        <v>5</v>
      </c>
      <c r="F51" s="11">
        <v>995</v>
      </c>
      <c r="G51" s="11">
        <v>272.8</v>
      </c>
      <c r="H51" s="11">
        <v>94.331142857142964</v>
      </c>
      <c r="I51" s="11">
        <f t="shared" si="0"/>
        <v>199</v>
      </c>
    </row>
    <row r="52" spans="1:9" x14ac:dyDescent="0.3">
      <c r="A52" s="9" t="s">
        <v>32</v>
      </c>
      <c r="B52" s="9" t="s">
        <v>28</v>
      </c>
      <c r="C52" s="9" t="s">
        <v>16</v>
      </c>
      <c r="D52" s="10" t="s">
        <v>17</v>
      </c>
      <c r="E52" s="11">
        <v>5</v>
      </c>
      <c r="F52" s="11">
        <v>1495</v>
      </c>
      <c r="G52" s="11">
        <v>466.05000000000007</v>
      </c>
      <c r="H52" s="11">
        <v>138.2076428571429</v>
      </c>
      <c r="I52" s="11">
        <f t="shared" si="0"/>
        <v>299</v>
      </c>
    </row>
    <row r="53" spans="1:9" x14ac:dyDescent="0.3">
      <c r="A53" s="11" t="s">
        <v>32</v>
      </c>
      <c r="B53" s="11" t="s">
        <v>28</v>
      </c>
      <c r="C53" s="11" t="s">
        <v>18</v>
      </c>
      <c r="D53" s="12" t="s">
        <v>17</v>
      </c>
      <c r="E53" s="11">
        <v>5</v>
      </c>
      <c r="F53" s="11">
        <v>2875</v>
      </c>
      <c r="G53" s="11">
        <v>775</v>
      </c>
      <c r="H53" s="11">
        <v>276.48214285714317</v>
      </c>
      <c r="I53" s="11">
        <f t="shared" si="0"/>
        <v>575</v>
      </c>
    </row>
    <row r="54" spans="1:9" x14ac:dyDescent="0.3">
      <c r="A54" s="9" t="s">
        <v>32</v>
      </c>
      <c r="B54" s="9" t="s">
        <v>28</v>
      </c>
      <c r="C54" s="9" t="s">
        <v>10</v>
      </c>
      <c r="D54" s="10" t="s">
        <v>11</v>
      </c>
      <c r="E54" s="11">
        <v>5</v>
      </c>
      <c r="F54" s="11">
        <v>1675</v>
      </c>
      <c r="G54" s="11">
        <v>596.80000000000007</v>
      </c>
      <c r="H54" s="11">
        <v>148.77171428571444</v>
      </c>
      <c r="I54" s="11">
        <f t="shared" si="0"/>
        <v>335</v>
      </c>
    </row>
    <row r="55" spans="1:9" x14ac:dyDescent="0.3">
      <c r="A55" s="11" t="s">
        <v>32</v>
      </c>
      <c r="B55" s="11" t="s">
        <v>28</v>
      </c>
      <c r="C55" s="11" t="s">
        <v>12</v>
      </c>
      <c r="D55" s="12" t="s">
        <v>11</v>
      </c>
      <c r="E55" s="11">
        <v>5</v>
      </c>
      <c r="F55" s="11">
        <v>3000</v>
      </c>
      <c r="G55" s="11">
        <v>641.80000000000007</v>
      </c>
      <c r="H55" s="11">
        <v>296.6734285714287</v>
      </c>
      <c r="I55" s="11">
        <f t="shared" si="0"/>
        <v>600</v>
      </c>
    </row>
    <row r="56" spans="1:9" x14ac:dyDescent="0.3">
      <c r="A56" s="9" t="s">
        <v>32</v>
      </c>
      <c r="B56" s="9" t="s">
        <v>28</v>
      </c>
      <c r="C56" s="9" t="s">
        <v>15</v>
      </c>
      <c r="D56" s="10" t="s">
        <v>14</v>
      </c>
      <c r="E56" s="11">
        <v>5</v>
      </c>
      <c r="F56" s="11">
        <v>825</v>
      </c>
      <c r="G56" s="11">
        <v>296.70000000000005</v>
      </c>
      <c r="H56" s="11">
        <v>72.816107142857192</v>
      </c>
      <c r="I56" s="11">
        <f t="shared" si="0"/>
        <v>165</v>
      </c>
    </row>
    <row r="57" spans="1:9" x14ac:dyDescent="0.3">
      <c r="A57" s="11" t="s">
        <v>32</v>
      </c>
      <c r="B57" s="11" t="s">
        <v>28</v>
      </c>
      <c r="C57" s="11" t="s">
        <v>24</v>
      </c>
      <c r="D57" s="12" t="s">
        <v>23</v>
      </c>
      <c r="E57" s="11">
        <v>15</v>
      </c>
      <c r="F57" s="11">
        <v>6750</v>
      </c>
      <c r="G57" s="11">
        <v>2401.65</v>
      </c>
      <c r="H57" s="11">
        <v>597.12766071428632</v>
      </c>
      <c r="I57" s="11">
        <f t="shared" si="0"/>
        <v>450</v>
      </c>
    </row>
    <row r="58" spans="1:9" x14ac:dyDescent="0.3">
      <c r="A58" s="9" t="s">
        <v>32</v>
      </c>
      <c r="B58" s="9" t="s">
        <v>28</v>
      </c>
      <c r="C58" s="9" t="s">
        <v>16</v>
      </c>
      <c r="D58" s="10" t="s">
        <v>17</v>
      </c>
      <c r="E58" s="11">
        <v>5</v>
      </c>
      <c r="F58" s="11">
        <v>1495</v>
      </c>
      <c r="G58" s="11">
        <v>466.05000000000007</v>
      </c>
      <c r="H58" s="11">
        <v>138.2076428571429</v>
      </c>
      <c r="I58" s="11">
        <f t="shared" si="0"/>
        <v>299</v>
      </c>
    </row>
    <row r="59" spans="1:9" x14ac:dyDescent="0.3">
      <c r="A59" s="11" t="s">
        <v>32</v>
      </c>
      <c r="B59" s="11" t="s">
        <v>28</v>
      </c>
      <c r="C59" s="11" t="s">
        <v>18</v>
      </c>
      <c r="D59" s="12" t="s">
        <v>17</v>
      </c>
      <c r="E59" s="11">
        <v>30</v>
      </c>
      <c r="F59" s="11">
        <v>17250</v>
      </c>
      <c r="G59" s="11">
        <v>3881.9</v>
      </c>
      <c r="H59" s="11">
        <v>1690.1655000000005</v>
      </c>
      <c r="I59" s="11">
        <f t="shared" si="0"/>
        <v>575</v>
      </c>
    </row>
    <row r="60" spans="1:9" x14ac:dyDescent="0.3">
      <c r="A60" s="9" t="s">
        <v>32</v>
      </c>
      <c r="B60" s="9" t="s">
        <v>28</v>
      </c>
      <c r="C60" s="9" t="s">
        <v>13</v>
      </c>
      <c r="D60" s="10" t="s">
        <v>14</v>
      </c>
      <c r="E60" s="11">
        <v>5</v>
      </c>
      <c r="F60" s="11">
        <v>1875</v>
      </c>
      <c r="G60" s="11">
        <v>764.95</v>
      </c>
      <c r="H60" s="11">
        <v>157.45462500000002</v>
      </c>
      <c r="I60" s="11">
        <f t="shared" si="0"/>
        <v>375</v>
      </c>
    </row>
    <row r="61" spans="1:9" x14ac:dyDescent="0.3">
      <c r="A61" s="11" t="s">
        <v>32</v>
      </c>
      <c r="B61" s="11" t="s">
        <v>28</v>
      </c>
      <c r="C61" s="11" t="s">
        <v>16</v>
      </c>
      <c r="D61" s="12" t="s">
        <v>17</v>
      </c>
      <c r="E61" s="11">
        <v>5</v>
      </c>
      <c r="F61" s="11">
        <v>1495</v>
      </c>
      <c r="G61" s="11">
        <v>466.05000000000007</v>
      </c>
      <c r="H61" s="11">
        <v>138.2076428571429</v>
      </c>
      <c r="I61" s="11">
        <f t="shared" si="0"/>
        <v>299</v>
      </c>
    </row>
    <row r="62" spans="1:9" x14ac:dyDescent="0.3">
      <c r="A62" s="9" t="s">
        <v>32</v>
      </c>
      <c r="B62" s="9" t="s">
        <v>28</v>
      </c>
      <c r="C62" s="9" t="s">
        <v>18</v>
      </c>
      <c r="D62" s="10" t="s">
        <v>17</v>
      </c>
      <c r="E62" s="11">
        <v>10</v>
      </c>
      <c r="F62" s="11">
        <v>5750</v>
      </c>
      <c r="G62" s="11">
        <v>1439.5</v>
      </c>
      <c r="H62" s="11">
        <v>557.46321428571491</v>
      </c>
      <c r="I62" s="11">
        <f t="shared" si="0"/>
        <v>575</v>
      </c>
    </row>
    <row r="63" spans="1:9" x14ac:dyDescent="0.3">
      <c r="A63" s="11" t="s">
        <v>32</v>
      </c>
      <c r="B63" s="11" t="s">
        <v>28</v>
      </c>
      <c r="C63" s="11" t="s">
        <v>12</v>
      </c>
      <c r="D63" s="12" t="s">
        <v>11</v>
      </c>
      <c r="E63" s="11">
        <v>10</v>
      </c>
      <c r="F63" s="11">
        <v>6000</v>
      </c>
      <c r="G63" s="11">
        <v>1519.4</v>
      </c>
      <c r="H63" s="11">
        <v>584.25171428571502</v>
      </c>
      <c r="I63" s="11">
        <f t="shared" si="0"/>
        <v>600</v>
      </c>
    </row>
    <row r="64" spans="1:9" x14ac:dyDescent="0.3">
      <c r="A64" s="9" t="s">
        <v>32</v>
      </c>
      <c r="B64" s="9" t="s">
        <v>28</v>
      </c>
      <c r="C64" s="9" t="s">
        <v>24</v>
      </c>
      <c r="D64" s="10" t="s">
        <v>23</v>
      </c>
      <c r="E64" s="11">
        <v>10</v>
      </c>
      <c r="F64" s="11">
        <v>4500</v>
      </c>
      <c r="G64" s="11">
        <v>1601.1000000000001</v>
      </c>
      <c r="H64" s="11">
        <v>398.08510714285774</v>
      </c>
      <c r="I64" s="11">
        <f t="shared" si="0"/>
        <v>450</v>
      </c>
    </row>
    <row r="65" spans="1:9" x14ac:dyDescent="0.3">
      <c r="A65" s="11" t="s">
        <v>32</v>
      </c>
      <c r="B65" s="11" t="s">
        <v>28</v>
      </c>
      <c r="C65" s="11" t="s">
        <v>16</v>
      </c>
      <c r="D65" s="12" t="s">
        <v>17</v>
      </c>
      <c r="E65" s="11">
        <v>5</v>
      </c>
      <c r="F65" s="11">
        <v>1495</v>
      </c>
      <c r="G65" s="11">
        <v>466.05000000000007</v>
      </c>
      <c r="H65" s="11">
        <v>138.2076428571429</v>
      </c>
      <c r="I65" s="11">
        <f t="shared" si="0"/>
        <v>299</v>
      </c>
    </row>
    <row r="66" spans="1:9" x14ac:dyDescent="0.3">
      <c r="A66" s="9" t="s">
        <v>32</v>
      </c>
      <c r="B66" s="9" t="s">
        <v>28</v>
      </c>
      <c r="C66" s="9" t="s">
        <v>18</v>
      </c>
      <c r="D66" s="10" t="s">
        <v>17</v>
      </c>
      <c r="E66" s="11">
        <v>5</v>
      </c>
      <c r="F66" s="11">
        <v>2875</v>
      </c>
      <c r="G66" s="11">
        <v>775</v>
      </c>
      <c r="H66" s="11">
        <v>276.48214285714317</v>
      </c>
      <c r="I66" s="11">
        <f t="shared" si="0"/>
        <v>575</v>
      </c>
    </row>
    <row r="67" spans="1:9" x14ac:dyDescent="0.3">
      <c r="A67" s="11" t="s">
        <v>32</v>
      </c>
      <c r="B67" s="11" t="s">
        <v>28</v>
      </c>
      <c r="C67" s="11" t="s">
        <v>10</v>
      </c>
      <c r="D67" s="12" t="s">
        <v>11</v>
      </c>
      <c r="E67" s="11">
        <v>10</v>
      </c>
      <c r="F67" s="11">
        <v>3350</v>
      </c>
      <c r="G67" s="11">
        <v>1193.6000000000001</v>
      </c>
      <c r="H67" s="11">
        <v>297.54342857142888</v>
      </c>
      <c r="I67" s="11">
        <f t="shared" ref="I67:I130" si="1">IFERROR((F67/E67),0)</f>
        <v>335</v>
      </c>
    </row>
    <row r="68" spans="1:9" x14ac:dyDescent="0.3">
      <c r="A68" s="9" t="s">
        <v>32</v>
      </c>
      <c r="B68" s="9" t="s">
        <v>28</v>
      </c>
      <c r="C68" s="9" t="s">
        <v>15</v>
      </c>
      <c r="D68" s="10" t="s">
        <v>14</v>
      </c>
      <c r="E68" s="11">
        <v>5</v>
      </c>
      <c r="F68" s="11">
        <v>825</v>
      </c>
      <c r="G68" s="11">
        <v>296.70000000000005</v>
      </c>
      <c r="H68" s="11">
        <v>72.816107142857192</v>
      </c>
      <c r="I68" s="11">
        <f t="shared" si="1"/>
        <v>165</v>
      </c>
    </row>
    <row r="69" spans="1:9" x14ac:dyDescent="0.3">
      <c r="A69" s="11" t="s">
        <v>32</v>
      </c>
      <c r="B69" s="11" t="s">
        <v>28</v>
      </c>
      <c r="C69" s="11" t="s">
        <v>16</v>
      </c>
      <c r="D69" s="12" t="s">
        <v>17</v>
      </c>
      <c r="E69" s="11">
        <v>15</v>
      </c>
      <c r="F69" s="11">
        <v>4485</v>
      </c>
      <c r="G69" s="11">
        <v>1398.15</v>
      </c>
      <c r="H69" s="11">
        <v>414.6229285714287</v>
      </c>
      <c r="I69" s="11">
        <f t="shared" si="1"/>
        <v>299</v>
      </c>
    </row>
    <row r="70" spans="1:9" x14ac:dyDescent="0.3">
      <c r="A70" s="9" t="s">
        <v>32</v>
      </c>
      <c r="B70" s="9" t="s">
        <v>28</v>
      </c>
      <c r="C70" s="9" t="s">
        <v>18</v>
      </c>
      <c r="D70" s="10" t="s">
        <v>17</v>
      </c>
      <c r="E70" s="11">
        <v>5</v>
      </c>
      <c r="F70" s="11">
        <v>2875</v>
      </c>
      <c r="G70" s="11">
        <v>664.49999999999989</v>
      </c>
      <c r="H70" s="11">
        <v>280.98107142857174</v>
      </c>
      <c r="I70" s="11">
        <f t="shared" si="1"/>
        <v>575</v>
      </c>
    </row>
    <row r="71" spans="1:9" x14ac:dyDescent="0.3">
      <c r="A71" s="11" t="s">
        <v>32</v>
      </c>
      <c r="B71" s="11" t="s">
        <v>28</v>
      </c>
      <c r="C71" s="11" t="s">
        <v>10</v>
      </c>
      <c r="D71" s="12" t="s">
        <v>11</v>
      </c>
      <c r="E71" s="11">
        <v>20</v>
      </c>
      <c r="F71" s="11">
        <v>6700</v>
      </c>
      <c r="G71" s="11">
        <v>2387.2000000000003</v>
      </c>
      <c r="H71" s="11">
        <v>595.08685714285775</v>
      </c>
      <c r="I71" s="11">
        <f t="shared" si="1"/>
        <v>335</v>
      </c>
    </row>
    <row r="72" spans="1:9" x14ac:dyDescent="0.3">
      <c r="A72" s="9" t="s">
        <v>32</v>
      </c>
      <c r="B72" s="9" t="s">
        <v>28</v>
      </c>
      <c r="C72" s="9" t="s">
        <v>15</v>
      </c>
      <c r="D72" s="10" t="s">
        <v>14</v>
      </c>
      <c r="E72" s="11">
        <v>10</v>
      </c>
      <c r="F72" s="11">
        <v>1650</v>
      </c>
      <c r="G72" s="11">
        <v>619.80000000000007</v>
      </c>
      <c r="H72" s="11">
        <v>144.24621428571442</v>
      </c>
      <c r="I72" s="11">
        <f t="shared" si="1"/>
        <v>165</v>
      </c>
    </row>
    <row r="73" spans="1:9" x14ac:dyDescent="0.3">
      <c r="A73" s="11" t="s">
        <v>32</v>
      </c>
      <c r="B73" s="11" t="s">
        <v>28</v>
      </c>
      <c r="C73" s="11" t="s">
        <v>22</v>
      </c>
      <c r="D73" s="12" t="s">
        <v>23</v>
      </c>
      <c r="E73" s="11">
        <v>5</v>
      </c>
      <c r="F73" s="11">
        <v>995</v>
      </c>
      <c r="G73" s="11">
        <v>272.8</v>
      </c>
      <c r="H73" s="11">
        <v>94.331142857142964</v>
      </c>
      <c r="I73" s="11">
        <f t="shared" si="1"/>
        <v>199</v>
      </c>
    </row>
    <row r="74" spans="1:9" x14ac:dyDescent="0.3">
      <c r="A74" s="9" t="s">
        <v>32</v>
      </c>
      <c r="B74" s="9" t="s">
        <v>28</v>
      </c>
      <c r="C74" s="9" t="s">
        <v>16</v>
      </c>
      <c r="D74" s="10" t="s">
        <v>17</v>
      </c>
      <c r="E74" s="11">
        <v>5</v>
      </c>
      <c r="F74" s="11">
        <v>1495</v>
      </c>
      <c r="G74" s="11">
        <v>466.05000000000007</v>
      </c>
      <c r="H74" s="11">
        <v>138.2076428571429</v>
      </c>
      <c r="I74" s="11">
        <f t="shared" si="1"/>
        <v>299</v>
      </c>
    </row>
    <row r="75" spans="1:9" x14ac:dyDescent="0.3">
      <c r="A75" s="11" t="s">
        <v>32</v>
      </c>
      <c r="B75" s="11" t="s">
        <v>28</v>
      </c>
      <c r="C75" s="11" t="s">
        <v>18</v>
      </c>
      <c r="D75" s="12" t="s">
        <v>17</v>
      </c>
      <c r="E75" s="11">
        <v>5</v>
      </c>
      <c r="F75" s="11">
        <v>2875</v>
      </c>
      <c r="G75" s="11">
        <v>664.49999999999989</v>
      </c>
      <c r="H75" s="11">
        <v>280.98107142857174</v>
      </c>
      <c r="I75" s="11">
        <f t="shared" si="1"/>
        <v>575</v>
      </c>
    </row>
    <row r="76" spans="1:9" x14ac:dyDescent="0.3">
      <c r="A76" s="9" t="s">
        <v>32</v>
      </c>
      <c r="B76" s="9" t="s">
        <v>28</v>
      </c>
      <c r="C76" s="9" t="s">
        <v>15</v>
      </c>
      <c r="D76" s="10" t="s">
        <v>14</v>
      </c>
      <c r="E76" s="11">
        <v>5</v>
      </c>
      <c r="F76" s="11">
        <v>825</v>
      </c>
      <c r="G76" s="11">
        <v>296.70000000000005</v>
      </c>
      <c r="H76" s="11">
        <v>72.816107142857192</v>
      </c>
      <c r="I76" s="11">
        <f t="shared" si="1"/>
        <v>165</v>
      </c>
    </row>
    <row r="77" spans="1:9" x14ac:dyDescent="0.3">
      <c r="A77" s="11" t="s">
        <v>32</v>
      </c>
      <c r="B77" s="11" t="s">
        <v>28</v>
      </c>
      <c r="C77" s="11" t="s">
        <v>24</v>
      </c>
      <c r="D77" s="12" t="s">
        <v>23</v>
      </c>
      <c r="E77" s="11">
        <v>5</v>
      </c>
      <c r="F77" s="11">
        <v>2250</v>
      </c>
      <c r="G77" s="11">
        <v>800.55000000000007</v>
      </c>
      <c r="H77" s="11">
        <v>199.04255357142887</v>
      </c>
      <c r="I77" s="11">
        <f t="shared" si="1"/>
        <v>450</v>
      </c>
    </row>
    <row r="78" spans="1:9" x14ac:dyDescent="0.3">
      <c r="A78" s="9" t="s">
        <v>32</v>
      </c>
      <c r="B78" s="9" t="s">
        <v>28</v>
      </c>
      <c r="C78" s="9" t="s">
        <v>16</v>
      </c>
      <c r="D78" s="10" t="s">
        <v>17</v>
      </c>
      <c r="E78" s="11">
        <v>20</v>
      </c>
      <c r="F78" s="11">
        <v>5980</v>
      </c>
      <c r="G78" s="11">
        <v>1864.2000000000003</v>
      </c>
      <c r="H78" s="11">
        <v>552.8305714285716</v>
      </c>
      <c r="I78" s="11">
        <f t="shared" si="1"/>
        <v>299</v>
      </c>
    </row>
    <row r="79" spans="1:9" x14ac:dyDescent="0.3">
      <c r="A79" s="11" t="s">
        <v>32</v>
      </c>
      <c r="B79" s="11" t="s">
        <v>28</v>
      </c>
      <c r="C79" s="11" t="s">
        <v>18</v>
      </c>
      <c r="D79" s="12" t="s">
        <v>17</v>
      </c>
      <c r="E79" s="11">
        <v>5</v>
      </c>
      <c r="F79" s="11">
        <v>2875</v>
      </c>
      <c r="G79" s="11">
        <v>775</v>
      </c>
      <c r="H79" s="11">
        <v>276.48214285714317</v>
      </c>
      <c r="I79" s="11">
        <f t="shared" si="1"/>
        <v>575</v>
      </c>
    </row>
    <row r="80" spans="1:9" x14ac:dyDescent="0.3">
      <c r="A80" s="9" t="s">
        <v>32</v>
      </c>
      <c r="B80" s="9" t="s">
        <v>28</v>
      </c>
      <c r="C80" s="9" t="s">
        <v>10</v>
      </c>
      <c r="D80" s="10" t="s">
        <v>11</v>
      </c>
      <c r="E80" s="11">
        <v>5</v>
      </c>
      <c r="F80" s="11">
        <v>1675</v>
      </c>
      <c r="G80" s="11">
        <v>596.80000000000007</v>
      </c>
      <c r="H80" s="11">
        <v>148.77171428571444</v>
      </c>
      <c r="I80" s="11">
        <f t="shared" si="1"/>
        <v>335</v>
      </c>
    </row>
    <row r="81" spans="1:9" x14ac:dyDescent="0.3">
      <c r="A81" s="11" t="s">
        <v>32</v>
      </c>
      <c r="B81" s="11" t="s">
        <v>28</v>
      </c>
      <c r="C81" s="11" t="s">
        <v>15</v>
      </c>
      <c r="D81" s="12" t="s">
        <v>14</v>
      </c>
      <c r="E81" s="11">
        <v>5</v>
      </c>
      <c r="F81" s="11">
        <v>825</v>
      </c>
      <c r="G81" s="11">
        <v>296.70000000000005</v>
      </c>
      <c r="H81" s="11">
        <v>72.816107142857192</v>
      </c>
      <c r="I81" s="11">
        <f t="shared" si="1"/>
        <v>165</v>
      </c>
    </row>
    <row r="82" spans="1:9" x14ac:dyDescent="0.3">
      <c r="A82" s="9" t="s">
        <v>32</v>
      </c>
      <c r="B82" s="9" t="s">
        <v>28</v>
      </c>
      <c r="C82" s="9" t="s">
        <v>24</v>
      </c>
      <c r="D82" s="10" t="s">
        <v>23</v>
      </c>
      <c r="E82" s="11">
        <v>5</v>
      </c>
      <c r="F82" s="11">
        <v>2250</v>
      </c>
      <c r="G82" s="11">
        <v>765</v>
      </c>
      <c r="H82" s="11">
        <v>200.90892857142876</v>
      </c>
      <c r="I82" s="11">
        <f t="shared" si="1"/>
        <v>450</v>
      </c>
    </row>
    <row r="83" spans="1:9" x14ac:dyDescent="0.3">
      <c r="A83" s="11" t="s">
        <v>32</v>
      </c>
      <c r="B83" s="11" t="s">
        <v>28</v>
      </c>
      <c r="C83" s="11" t="s">
        <v>16</v>
      </c>
      <c r="D83" s="12" t="s">
        <v>17</v>
      </c>
      <c r="E83" s="11">
        <v>20</v>
      </c>
      <c r="F83" s="11">
        <v>5980</v>
      </c>
      <c r="G83" s="11">
        <v>1864.2000000000003</v>
      </c>
      <c r="H83" s="11">
        <v>552.8305714285716</v>
      </c>
      <c r="I83" s="11">
        <f t="shared" si="1"/>
        <v>299</v>
      </c>
    </row>
    <row r="84" spans="1:9" x14ac:dyDescent="0.3">
      <c r="A84" s="9" t="s">
        <v>32</v>
      </c>
      <c r="B84" s="9" t="s">
        <v>28</v>
      </c>
      <c r="C84" s="9" t="s">
        <v>18</v>
      </c>
      <c r="D84" s="10" t="s">
        <v>17</v>
      </c>
      <c r="E84" s="11">
        <v>5</v>
      </c>
      <c r="F84" s="11">
        <v>2875</v>
      </c>
      <c r="G84" s="11">
        <v>664.49999999999989</v>
      </c>
      <c r="H84" s="11">
        <v>280.98107142857174</v>
      </c>
      <c r="I84" s="11">
        <f t="shared" si="1"/>
        <v>575</v>
      </c>
    </row>
    <row r="85" spans="1:9" x14ac:dyDescent="0.3">
      <c r="A85" s="11" t="s">
        <v>32</v>
      </c>
      <c r="B85" s="11" t="s">
        <v>28</v>
      </c>
      <c r="C85" s="11" t="s">
        <v>10</v>
      </c>
      <c r="D85" s="12" t="s">
        <v>11</v>
      </c>
      <c r="E85" s="11">
        <v>5</v>
      </c>
      <c r="F85" s="11">
        <v>1675</v>
      </c>
      <c r="G85" s="11">
        <v>596.80000000000007</v>
      </c>
      <c r="H85" s="11">
        <v>148.77171428571444</v>
      </c>
      <c r="I85" s="11">
        <f t="shared" si="1"/>
        <v>335</v>
      </c>
    </row>
    <row r="86" spans="1:9" x14ac:dyDescent="0.3">
      <c r="A86" s="9" t="s">
        <v>32</v>
      </c>
      <c r="B86" s="9" t="s">
        <v>28</v>
      </c>
      <c r="C86" s="9" t="s">
        <v>24</v>
      </c>
      <c r="D86" s="10" t="s">
        <v>23</v>
      </c>
      <c r="E86" s="11">
        <v>5</v>
      </c>
      <c r="F86" s="11">
        <v>2250</v>
      </c>
      <c r="G86" s="11">
        <v>800.55000000000007</v>
      </c>
      <c r="H86" s="11">
        <v>199.04255357142887</v>
      </c>
      <c r="I86" s="11">
        <f t="shared" si="1"/>
        <v>450</v>
      </c>
    </row>
    <row r="87" spans="1:9" x14ac:dyDescent="0.3">
      <c r="A87" s="11" t="s">
        <v>32</v>
      </c>
      <c r="B87" s="11" t="s">
        <v>28</v>
      </c>
      <c r="C87" s="11" t="s">
        <v>16</v>
      </c>
      <c r="D87" s="12" t="s">
        <v>17</v>
      </c>
      <c r="E87" s="11">
        <v>5</v>
      </c>
      <c r="F87" s="11">
        <v>1495</v>
      </c>
      <c r="G87" s="11">
        <v>466.05000000000007</v>
      </c>
      <c r="H87" s="11">
        <v>138.2076428571429</v>
      </c>
      <c r="I87" s="11">
        <f t="shared" si="1"/>
        <v>299</v>
      </c>
    </row>
    <row r="88" spans="1:9" x14ac:dyDescent="0.3">
      <c r="A88" s="9" t="s">
        <v>32</v>
      </c>
      <c r="B88" s="9" t="s">
        <v>28</v>
      </c>
      <c r="C88" s="9" t="s">
        <v>18</v>
      </c>
      <c r="D88" s="10" t="s">
        <v>17</v>
      </c>
      <c r="E88" s="11">
        <v>5</v>
      </c>
      <c r="F88" s="11">
        <v>2875</v>
      </c>
      <c r="G88" s="11">
        <v>775</v>
      </c>
      <c r="H88" s="11">
        <v>276.48214285714317</v>
      </c>
      <c r="I88" s="11">
        <f t="shared" si="1"/>
        <v>575</v>
      </c>
    </row>
    <row r="89" spans="1:9" x14ac:dyDescent="0.3">
      <c r="A89" s="11" t="s">
        <v>32</v>
      </c>
      <c r="B89" s="11" t="s">
        <v>28</v>
      </c>
      <c r="C89" s="11" t="s">
        <v>12</v>
      </c>
      <c r="D89" s="12" t="s">
        <v>11</v>
      </c>
      <c r="E89" s="11">
        <v>5</v>
      </c>
      <c r="F89" s="11">
        <v>3000</v>
      </c>
      <c r="G89" s="11">
        <v>641.80000000000007</v>
      </c>
      <c r="H89" s="11">
        <v>296.6734285714287</v>
      </c>
      <c r="I89" s="11">
        <f t="shared" si="1"/>
        <v>600</v>
      </c>
    </row>
    <row r="90" spans="1:9" x14ac:dyDescent="0.3">
      <c r="A90" s="9" t="s">
        <v>32</v>
      </c>
      <c r="B90" s="9" t="s">
        <v>28</v>
      </c>
      <c r="C90" s="9" t="s">
        <v>13</v>
      </c>
      <c r="D90" s="10" t="s">
        <v>14</v>
      </c>
      <c r="E90" s="11">
        <v>5</v>
      </c>
      <c r="F90" s="11">
        <v>1875</v>
      </c>
      <c r="G90" s="11">
        <v>764.95</v>
      </c>
      <c r="H90" s="11">
        <v>157.45462500000002</v>
      </c>
      <c r="I90" s="11">
        <f t="shared" si="1"/>
        <v>375</v>
      </c>
    </row>
    <row r="91" spans="1:9" x14ac:dyDescent="0.3">
      <c r="A91" s="11" t="s">
        <v>32</v>
      </c>
      <c r="B91" s="11" t="s">
        <v>28</v>
      </c>
      <c r="C91" s="11" t="s">
        <v>24</v>
      </c>
      <c r="D91" s="12" t="s">
        <v>23</v>
      </c>
      <c r="E91" s="11">
        <v>5</v>
      </c>
      <c r="F91" s="11">
        <v>2250</v>
      </c>
      <c r="G91" s="11">
        <v>800.55000000000007</v>
      </c>
      <c r="H91" s="11">
        <v>199.04255357142887</v>
      </c>
      <c r="I91" s="11">
        <f t="shared" si="1"/>
        <v>450</v>
      </c>
    </row>
    <row r="92" spans="1:9" x14ac:dyDescent="0.3">
      <c r="A92" s="9" t="s">
        <v>32</v>
      </c>
      <c r="B92" s="9" t="s">
        <v>28</v>
      </c>
      <c r="C92" s="9" t="s">
        <v>16</v>
      </c>
      <c r="D92" s="10" t="s">
        <v>17</v>
      </c>
      <c r="E92" s="11">
        <v>10</v>
      </c>
      <c r="F92" s="11">
        <v>2990</v>
      </c>
      <c r="G92" s="11">
        <v>932.10000000000014</v>
      </c>
      <c r="H92" s="11">
        <v>276.4152857142858</v>
      </c>
      <c r="I92" s="11">
        <f t="shared" si="1"/>
        <v>299</v>
      </c>
    </row>
    <row r="93" spans="1:9" x14ac:dyDescent="0.3">
      <c r="A93" s="11" t="s">
        <v>32</v>
      </c>
      <c r="B93" s="11" t="s">
        <v>28</v>
      </c>
      <c r="C93" s="11" t="s">
        <v>18</v>
      </c>
      <c r="D93" s="12" t="s">
        <v>17</v>
      </c>
      <c r="E93" s="11">
        <v>5</v>
      </c>
      <c r="F93" s="11">
        <v>2875</v>
      </c>
      <c r="G93" s="11">
        <v>775</v>
      </c>
      <c r="H93" s="11">
        <v>276.48214285714317</v>
      </c>
      <c r="I93" s="11">
        <f t="shared" si="1"/>
        <v>575</v>
      </c>
    </row>
    <row r="94" spans="1:9" x14ac:dyDescent="0.3">
      <c r="A94" s="9" t="s">
        <v>32</v>
      </c>
      <c r="B94" s="9" t="s">
        <v>28</v>
      </c>
      <c r="C94" s="9" t="s">
        <v>10</v>
      </c>
      <c r="D94" s="10" t="s">
        <v>11</v>
      </c>
      <c r="E94" s="11">
        <v>5</v>
      </c>
      <c r="F94" s="11">
        <v>1675</v>
      </c>
      <c r="G94" s="11">
        <v>596.80000000000007</v>
      </c>
      <c r="H94" s="11">
        <v>148.77171428571444</v>
      </c>
      <c r="I94" s="11">
        <f t="shared" si="1"/>
        <v>335</v>
      </c>
    </row>
    <row r="95" spans="1:9" x14ac:dyDescent="0.3">
      <c r="A95" s="11" t="s">
        <v>32</v>
      </c>
      <c r="B95" s="11" t="s">
        <v>28</v>
      </c>
      <c r="C95" s="11" t="s">
        <v>16</v>
      </c>
      <c r="D95" s="12" t="s">
        <v>17</v>
      </c>
      <c r="E95" s="11">
        <v>10</v>
      </c>
      <c r="F95" s="11">
        <v>2990</v>
      </c>
      <c r="G95" s="11">
        <v>932.10000000000014</v>
      </c>
      <c r="H95" s="11">
        <v>276.4152857142858</v>
      </c>
      <c r="I95" s="11">
        <f t="shared" si="1"/>
        <v>299</v>
      </c>
    </row>
    <row r="96" spans="1:9" x14ac:dyDescent="0.3">
      <c r="A96" s="9" t="s">
        <v>32</v>
      </c>
      <c r="B96" s="9" t="s">
        <v>28</v>
      </c>
      <c r="C96" s="9" t="s">
        <v>18</v>
      </c>
      <c r="D96" s="10" t="s">
        <v>17</v>
      </c>
      <c r="E96" s="11">
        <v>10</v>
      </c>
      <c r="F96" s="11">
        <v>5750</v>
      </c>
      <c r="G96" s="11">
        <v>1550</v>
      </c>
      <c r="H96" s="11">
        <v>552.96428571428635</v>
      </c>
      <c r="I96" s="11">
        <f t="shared" si="1"/>
        <v>575</v>
      </c>
    </row>
    <row r="97" spans="1:9" x14ac:dyDescent="0.3">
      <c r="A97" s="11" t="s">
        <v>32</v>
      </c>
      <c r="B97" s="11" t="s">
        <v>28</v>
      </c>
      <c r="C97" s="11" t="s">
        <v>10</v>
      </c>
      <c r="D97" s="12" t="s">
        <v>11</v>
      </c>
      <c r="E97" s="11">
        <v>5</v>
      </c>
      <c r="F97" s="11">
        <v>1675</v>
      </c>
      <c r="G97" s="11">
        <v>596.80000000000007</v>
      </c>
      <c r="H97" s="11">
        <v>148.77171428571444</v>
      </c>
      <c r="I97" s="11">
        <f t="shared" si="1"/>
        <v>335</v>
      </c>
    </row>
    <row r="98" spans="1:9" x14ac:dyDescent="0.3">
      <c r="A98" s="9" t="s">
        <v>32</v>
      </c>
      <c r="B98" s="9" t="s">
        <v>28</v>
      </c>
      <c r="C98" s="9" t="s">
        <v>15</v>
      </c>
      <c r="D98" s="10" t="s">
        <v>14</v>
      </c>
      <c r="E98" s="11">
        <v>5</v>
      </c>
      <c r="F98" s="11">
        <v>825</v>
      </c>
      <c r="G98" s="11">
        <v>323.10000000000002</v>
      </c>
      <c r="H98" s="11">
        <v>71.430107142857224</v>
      </c>
      <c r="I98" s="11">
        <f t="shared" si="1"/>
        <v>165</v>
      </c>
    </row>
    <row r="99" spans="1:9" x14ac:dyDescent="0.3">
      <c r="A99" s="11" t="s">
        <v>32</v>
      </c>
      <c r="B99" s="11" t="s">
        <v>28</v>
      </c>
      <c r="C99" s="11" t="s">
        <v>16</v>
      </c>
      <c r="D99" s="12" t="s">
        <v>17</v>
      </c>
      <c r="E99" s="11">
        <v>10</v>
      </c>
      <c r="F99" s="11">
        <v>2990</v>
      </c>
      <c r="G99" s="11">
        <v>932.10000000000014</v>
      </c>
      <c r="H99" s="11">
        <v>276.4152857142858</v>
      </c>
      <c r="I99" s="11">
        <f t="shared" si="1"/>
        <v>299</v>
      </c>
    </row>
    <row r="100" spans="1:9" x14ac:dyDescent="0.3">
      <c r="A100" s="9" t="s">
        <v>32</v>
      </c>
      <c r="B100" s="9" t="s">
        <v>28</v>
      </c>
      <c r="C100" s="9" t="s">
        <v>15</v>
      </c>
      <c r="D100" s="10" t="s">
        <v>14</v>
      </c>
      <c r="E100" s="11">
        <v>5</v>
      </c>
      <c r="F100" s="11">
        <v>825</v>
      </c>
      <c r="G100" s="11">
        <v>296.70000000000005</v>
      </c>
      <c r="H100" s="11">
        <v>72.816107142857192</v>
      </c>
      <c r="I100" s="11">
        <f t="shared" si="1"/>
        <v>165</v>
      </c>
    </row>
    <row r="101" spans="1:9" x14ac:dyDescent="0.3">
      <c r="A101" s="11" t="s">
        <v>32</v>
      </c>
      <c r="B101" s="11" t="s">
        <v>28</v>
      </c>
      <c r="C101" s="11" t="s">
        <v>24</v>
      </c>
      <c r="D101" s="12" t="s">
        <v>23</v>
      </c>
      <c r="E101" s="11">
        <v>10</v>
      </c>
      <c r="F101" s="11">
        <v>4500</v>
      </c>
      <c r="G101" s="11">
        <v>1601.1000000000001</v>
      </c>
      <c r="H101" s="11">
        <v>398.08510714285774</v>
      </c>
      <c r="I101" s="11">
        <f t="shared" si="1"/>
        <v>450</v>
      </c>
    </row>
    <row r="102" spans="1:9" x14ac:dyDescent="0.3">
      <c r="A102" s="9" t="s">
        <v>32</v>
      </c>
      <c r="B102" s="9" t="s">
        <v>28</v>
      </c>
      <c r="C102" s="9" t="s">
        <v>16</v>
      </c>
      <c r="D102" s="10" t="s">
        <v>17</v>
      </c>
      <c r="E102" s="11">
        <v>5</v>
      </c>
      <c r="F102" s="11">
        <v>1495</v>
      </c>
      <c r="G102" s="11">
        <v>466.05000000000007</v>
      </c>
      <c r="H102" s="11">
        <v>138.2076428571429</v>
      </c>
      <c r="I102" s="11">
        <f t="shared" si="1"/>
        <v>299</v>
      </c>
    </row>
    <row r="103" spans="1:9" x14ac:dyDescent="0.3">
      <c r="A103" s="11" t="s">
        <v>32</v>
      </c>
      <c r="B103" s="11" t="s">
        <v>28</v>
      </c>
      <c r="C103" s="11" t="s">
        <v>18</v>
      </c>
      <c r="D103" s="12" t="s">
        <v>17</v>
      </c>
      <c r="E103" s="11">
        <v>15</v>
      </c>
      <c r="F103" s="11">
        <v>8625</v>
      </c>
      <c r="G103" s="11">
        <v>2214.5</v>
      </c>
      <c r="H103" s="11">
        <v>833.9453571428578</v>
      </c>
      <c r="I103" s="11">
        <f t="shared" si="1"/>
        <v>575</v>
      </c>
    </row>
    <row r="104" spans="1:9" x14ac:dyDescent="0.3">
      <c r="A104" s="9" t="s">
        <v>32</v>
      </c>
      <c r="B104" s="9" t="s">
        <v>28</v>
      </c>
      <c r="C104" s="9" t="s">
        <v>10</v>
      </c>
      <c r="D104" s="10" t="s">
        <v>11</v>
      </c>
      <c r="E104" s="11">
        <v>5</v>
      </c>
      <c r="F104" s="11">
        <v>1675</v>
      </c>
      <c r="G104" s="11">
        <v>596.80000000000007</v>
      </c>
      <c r="H104" s="11">
        <v>148.77171428571444</v>
      </c>
      <c r="I104" s="11">
        <f t="shared" si="1"/>
        <v>335</v>
      </c>
    </row>
    <row r="105" spans="1:9" x14ac:dyDescent="0.3">
      <c r="A105" s="11" t="s">
        <v>32</v>
      </c>
      <c r="B105" s="11" t="s">
        <v>28</v>
      </c>
      <c r="C105" s="11" t="s">
        <v>13</v>
      </c>
      <c r="D105" s="12" t="s">
        <v>14</v>
      </c>
      <c r="E105" s="11">
        <v>5</v>
      </c>
      <c r="F105" s="11">
        <v>1875</v>
      </c>
      <c r="G105" s="11">
        <v>764.95</v>
      </c>
      <c r="H105" s="11">
        <v>157.45462500000002</v>
      </c>
      <c r="I105" s="11">
        <f t="shared" si="1"/>
        <v>375</v>
      </c>
    </row>
    <row r="106" spans="1:9" x14ac:dyDescent="0.3">
      <c r="A106" s="9" t="s">
        <v>32</v>
      </c>
      <c r="B106" s="9" t="s">
        <v>28</v>
      </c>
      <c r="C106" s="9" t="s">
        <v>18</v>
      </c>
      <c r="D106" s="10" t="s">
        <v>17</v>
      </c>
      <c r="E106" s="11">
        <v>30</v>
      </c>
      <c r="F106" s="11">
        <v>17250</v>
      </c>
      <c r="G106" s="11">
        <v>4650</v>
      </c>
      <c r="H106" s="11">
        <v>1658.8928571428573</v>
      </c>
      <c r="I106" s="11">
        <f t="shared" si="1"/>
        <v>575</v>
      </c>
    </row>
    <row r="107" spans="1:9" x14ac:dyDescent="0.3">
      <c r="A107" s="11" t="s">
        <v>32</v>
      </c>
      <c r="B107" s="11" t="s">
        <v>28</v>
      </c>
      <c r="C107" s="11" t="s">
        <v>16</v>
      </c>
      <c r="D107" s="12" t="s">
        <v>17</v>
      </c>
      <c r="E107" s="11">
        <v>5</v>
      </c>
      <c r="F107" s="11">
        <v>1495</v>
      </c>
      <c r="G107" s="11">
        <v>466.05000000000007</v>
      </c>
      <c r="H107" s="11">
        <v>138.2076428571429</v>
      </c>
      <c r="I107" s="11">
        <f t="shared" si="1"/>
        <v>299</v>
      </c>
    </row>
    <row r="108" spans="1:9" x14ac:dyDescent="0.3">
      <c r="A108" s="9" t="s">
        <v>32</v>
      </c>
      <c r="B108" s="9" t="s">
        <v>28</v>
      </c>
      <c r="C108" s="9" t="s">
        <v>18</v>
      </c>
      <c r="D108" s="10" t="s">
        <v>17</v>
      </c>
      <c r="E108" s="11">
        <v>5</v>
      </c>
      <c r="F108" s="11">
        <v>2875</v>
      </c>
      <c r="G108" s="11">
        <v>775</v>
      </c>
      <c r="H108" s="11">
        <v>276.48214285714317</v>
      </c>
      <c r="I108" s="11">
        <f t="shared" si="1"/>
        <v>575</v>
      </c>
    </row>
    <row r="109" spans="1:9" x14ac:dyDescent="0.3">
      <c r="A109" s="11" t="s">
        <v>32</v>
      </c>
      <c r="B109" s="11" t="s">
        <v>28</v>
      </c>
      <c r="C109" s="11" t="s">
        <v>10</v>
      </c>
      <c r="D109" s="12" t="s">
        <v>11</v>
      </c>
      <c r="E109" s="11">
        <v>10</v>
      </c>
      <c r="F109" s="11">
        <v>3350</v>
      </c>
      <c r="G109" s="11">
        <v>1193.6000000000001</v>
      </c>
      <c r="H109" s="11">
        <v>297.54342857142888</v>
      </c>
      <c r="I109" s="11">
        <f t="shared" si="1"/>
        <v>335</v>
      </c>
    </row>
    <row r="110" spans="1:9" x14ac:dyDescent="0.3">
      <c r="A110" s="9" t="s">
        <v>32</v>
      </c>
      <c r="B110" s="9" t="s">
        <v>28</v>
      </c>
      <c r="C110" s="9" t="s">
        <v>12</v>
      </c>
      <c r="D110" s="10" t="s">
        <v>11</v>
      </c>
      <c r="E110" s="11">
        <v>5</v>
      </c>
      <c r="F110" s="11">
        <v>3000</v>
      </c>
      <c r="G110" s="11">
        <v>641.80000000000007</v>
      </c>
      <c r="H110" s="11">
        <v>296.6734285714287</v>
      </c>
      <c r="I110" s="11">
        <f t="shared" si="1"/>
        <v>600</v>
      </c>
    </row>
    <row r="111" spans="1:9" x14ac:dyDescent="0.3">
      <c r="A111" s="11" t="s">
        <v>32</v>
      </c>
      <c r="B111" s="11" t="s">
        <v>28</v>
      </c>
      <c r="C111" s="11" t="s">
        <v>15</v>
      </c>
      <c r="D111" s="12" t="s">
        <v>14</v>
      </c>
      <c r="E111" s="11">
        <v>5</v>
      </c>
      <c r="F111" s="11">
        <v>825</v>
      </c>
      <c r="G111" s="11">
        <v>323.10000000000002</v>
      </c>
      <c r="H111" s="11">
        <v>71.430107142857224</v>
      </c>
      <c r="I111" s="11">
        <f t="shared" si="1"/>
        <v>165</v>
      </c>
    </row>
    <row r="112" spans="1:9" x14ac:dyDescent="0.3">
      <c r="A112" s="9" t="s">
        <v>32</v>
      </c>
      <c r="B112" s="9" t="s">
        <v>28</v>
      </c>
      <c r="C112" s="9" t="s">
        <v>13</v>
      </c>
      <c r="D112" s="10" t="s">
        <v>14</v>
      </c>
      <c r="E112" s="11">
        <v>5</v>
      </c>
      <c r="F112" s="11">
        <v>1875</v>
      </c>
      <c r="G112" s="11">
        <v>764.95</v>
      </c>
      <c r="H112" s="11">
        <v>157.45462500000002</v>
      </c>
      <c r="I112" s="11">
        <f t="shared" si="1"/>
        <v>375</v>
      </c>
    </row>
    <row r="113" spans="1:9" x14ac:dyDescent="0.3">
      <c r="A113" s="11" t="s">
        <v>32</v>
      </c>
      <c r="B113" s="11" t="s">
        <v>28</v>
      </c>
      <c r="C113" s="11" t="s">
        <v>24</v>
      </c>
      <c r="D113" s="12" t="s">
        <v>23</v>
      </c>
      <c r="E113" s="11">
        <v>10</v>
      </c>
      <c r="F113" s="11">
        <v>4500</v>
      </c>
      <c r="G113" s="11">
        <v>1532</v>
      </c>
      <c r="H113" s="11">
        <v>401.71285714285773</v>
      </c>
      <c r="I113" s="11">
        <f t="shared" si="1"/>
        <v>450</v>
      </c>
    </row>
    <row r="114" spans="1:9" x14ac:dyDescent="0.3">
      <c r="A114" s="9" t="s">
        <v>32</v>
      </c>
      <c r="B114" s="9" t="s">
        <v>28</v>
      </c>
      <c r="C114" s="9" t="s">
        <v>16</v>
      </c>
      <c r="D114" s="10" t="s">
        <v>17</v>
      </c>
      <c r="E114" s="11">
        <v>10</v>
      </c>
      <c r="F114" s="11">
        <v>2990</v>
      </c>
      <c r="G114" s="11">
        <v>932.10000000000014</v>
      </c>
      <c r="H114" s="11">
        <v>276.4152857142858</v>
      </c>
      <c r="I114" s="11">
        <f t="shared" si="1"/>
        <v>299</v>
      </c>
    </row>
    <row r="115" spans="1:9" x14ac:dyDescent="0.3">
      <c r="A115" s="11" t="s">
        <v>32</v>
      </c>
      <c r="B115" s="11" t="s">
        <v>28</v>
      </c>
      <c r="C115" s="11" t="s">
        <v>10</v>
      </c>
      <c r="D115" s="12" t="s">
        <v>11</v>
      </c>
      <c r="E115" s="11">
        <v>5</v>
      </c>
      <c r="F115" s="11">
        <v>1675</v>
      </c>
      <c r="G115" s="11">
        <v>596.80000000000007</v>
      </c>
      <c r="H115" s="11">
        <v>148.77171428571444</v>
      </c>
      <c r="I115" s="11">
        <f t="shared" si="1"/>
        <v>335</v>
      </c>
    </row>
    <row r="116" spans="1:9" x14ac:dyDescent="0.3">
      <c r="A116" s="9" t="s">
        <v>32</v>
      </c>
      <c r="B116" s="9" t="s">
        <v>28</v>
      </c>
      <c r="C116" s="9" t="s">
        <v>15</v>
      </c>
      <c r="D116" s="10" t="s">
        <v>14</v>
      </c>
      <c r="E116" s="11">
        <v>5</v>
      </c>
      <c r="F116" s="11">
        <v>825</v>
      </c>
      <c r="G116" s="11">
        <v>296.70000000000005</v>
      </c>
      <c r="H116" s="11">
        <v>72.816107142857192</v>
      </c>
      <c r="I116" s="11">
        <f t="shared" si="1"/>
        <v>165</v>
      </c>
    </row>
    <row r="117" spans="1:9" x14ac:dyDescent="0.3">
      <c r="A117" s="11" t="s">
        <v>32</v>
      </c>
      <c r="B117" s="11" t="s">
        <v>28</v>
      </c>
      <c r="C117" s="11" t="s">
        <v>16</v>
      </c>
      <c r="D117" s="12" t="s">
        <v>17</v>
      </c>
      <c r="E117" s="11">
        <v>5</v>
      </c>
      <c r="F117" s="11">
        <v>1495</v>
      </c>
      <c r="G117" s="11">
        <v>466.05000000000007</v>
      </c>
      <c r="H117" s="11">
        <v>138.2076428571429</v>
      </c>
      <c r="I117" s="11">
        <f t="shared" si="1"/>
        <v>299</v>
      </c>
    </row>
    <row r="118" spans="1:9" x14ac:dyDescent="0.3">
      <c r="A118" s="9" t="s">
        <v>32</v>
      </c>
      <c r="B118" s="9" t="s">
        <v>28</v>
      </c>
      <c r="C118" s="9" t="s">
        <v>10</v>
      </c>
      <c r="D118" s="10" t="s">
        <v>11</v>
      </c>
      <c r="E118" s="11">
        <v>5</v>
      </c>
      <c r="F118" s="11">
        <v>1675</v>
      </c>
      <c r="G118" s="11">
        <v>596.80000000000007</v>
      </c>
      <c r="H118" s="11">
        <v>148.77171428571444</v>
      </c>
      <c r="I118" s="11">
        <f t="shared" si="1"/>
        <v>335</v>
      </c>
    </row>
    <row r="119" spans="1:9" x14ac:dyDescent="0.3">
      <c r="A119" s="11" t="s">
        <v>32</v>
      </c>
      <c r="B119" s="11" t="s">
        <v>28</v>
      </c>
      <c r="C119" s="11" t="s">
        <v>15</v>
      </c>
      <c r="D119" s="12" t="s">
        <v>14</v>
      </c>
      <c r="E119" s="11">
        <v>5</v>
      </c>
      <c r="F119" s="11">
        <v>825</v>
      </c>
      <c r="G119" s="11">
        <v>296.70000000000005</v>
      </c>
      <c r="H119" s="11">
        <v>72.816107142857192</v>
      </c>
      <c r="I119" s="11">
        <f t="shared" si="1"/>
        <v>165</v>
      </c>
    </row>
    <row r="120" spans="1:9" x14ac:dyDescent="0.3">
      <c r="A120" s="9" t="s">
        <v>32</v>
      </c>
      <c r="B120" s="9" t="s">
        <v>28</v>
      </c>
      <c r="C120" s="9" t="s">
        <v>22</v>
      </c>
      <c r="D120" s="10" t="s">
        <v>23</v>
      </c>
      <c r="E120" s="11">
        <v>5</v>
      </c>
      <c r="F120" s="11">
        <v>995</v>
      </c>
      <c r="G120" s="11">
        <v>272.8</v>
      </c>
      <c r="H120" s="11">
        <v>94.331142857142964</v>
      </c>
      <c r="I120" s="11">
        <f t="shared" si="1"/>
        <v>199</v>
      </c>
    </row>
    <row r="121" spans="1:9" x14ac:dyDescent="0.3">
      <c r="A121" s="11" t="s">
        <v>32</v>
      </c>
      <c r="B121" s="11" t="s">
        <v>28</v>
      </c>
      <c r="C121" s="11" t="s">
        <v>24</v>
      </c>
      <c r="D121" s="12" t="s">
        <v>23</v>
      </c>
      <c r="E121" s="11">
        <v>5</v>
      </c>
      <c r="F121" s="11">
        <v>2250</v>
      </c>
      <c r="G121" s="11">
        <v>800.55000000000007</v>
      </c>
      <c r="H121" s="11">
        <v>199.04255357142887</v>
      </c>
      <c r="I121" s="11">
        <f t="shared" si="1"/>
        <v>450</v>
      </c>
    </row>
    <row r="122" spans="1:9" x14ac:dyDescent="0.3">
      <c r="A122" s="9" t="s">
        <v>32</v>
      </c>
      <c r="B122" s="9" t="s">
        <v>28</v>
      </c>
      <c r="C122" s="9" t="s">
        <v>16</v>
      </c>
      <c r="D122" s="10" t="s">
        <v>17</v>
      </c>
      <c r="E122" s="11">
        <v>5</v>
      </c>
      <c r="F122" s="11">
        <v>1495</v>
      </c>
      <c r="G122" s="11">
        <v>466.05000000000007</v>
      </c>
      <c r="H122" s="11">
        <v>138.2076428571429</v>
      </c>
      <c r="I122" s="11">
        <f t="shared" si="1"/>
        <v>299</v>
      </c>
    </row>
    <row r="123" spans="1:9" x14ac:dyDescent="0.3">
      <c r="A123" s="11" t="s">
        <v>32</v>
      </c>
      <c r="B123" s="11" t="s">
        <v>28</v>
      </c>
      <c r="C123" s="11" t="s">
        <v>18</v>
      </c>
      <c r="D123" s="12" t="s">
        <v>17</v>
      </c>
      <c r="E123" s="11">
        <v>10</v>
      </c>
      <c r="F123" s="11">
        <v>5750</v>
      </c>
      <c r="G123" s="11">
        <v>1550</v>
      </c>
      <c r="H123" s="11">
        <v>552.96428571428635</v>
      </c>
      <c r="I123" s="11">
        <f t="shared" si="1"/>
        <v>575</v>
      </c>
    </row>
    <row r="124" spans="1:9" x14ac:dyDescent="0.3">
      <c r="A124" s="9" t="s">
        <v>32</v>
      </c>
      <c r="B124" s="9" t="s">
        <v>28</v>
      </c>
      <c r="C124" s="9" t="s">
        <v>24</v>
      </c>
      <c r="D124" s="10" t="s">
        <v>23</v>
      </c>
      <c r="E124" s="11">
        <v>5</v>
      </c>
      <c r="F124" s="11">
        <v>2250</v>
      </c>
      <c r="G124" s="11">
        <v>800.55000000000007</v>
      </c>
      <c r="H124" s="11">
        <v>199.04255357142887</v>
      </c>
      <c r="I124" s="11">
        <f t="shared" si="1"/>
        <v>450</v>
      </c>
    </row>
    <row r="125" spans="1:9" x14ac:dyDescent="0.3">
      <c r="A125" s="11" t="s">
        <v>32</v>
      </c>
      <c r="B125" s="11" t="s">
        <v>28</v>
      </c>
      <c r="C125" s="11" t="s">
        <v>16</v>
      </c>
      <c r="D125" s="12" t="s">
        <v>17</v>
      </c>
      <c r="E125" s="11">
        <v>5</v>
      </c>
      <c r="F125" s="11">
        <v>1495</v>
      </c>
      <c r="G125" s="11">
        <v>466.05000000000007</v>
      </c>
      <c r="H125" s="11">
        <v>138.2076428571429</v>
      </c>
      <c r="I125" s="11">
        <f t="shared" si="1"/>
        <v>299</v>
      </c>
    </row>
    <row r="126" spans="1:9" x14ac:dyDescent="0.3">
      <c r="A126" s="9" t="s">
        <v>32</v>
      </c>
      <c r="B126" s="9" t="s">
        <v>28</v>
      </c>
      <c r="C126" s="9" t="s">
        <v>10</v>
      </c>
      <c r="D126" s="10" t="s">
        <v>11</v>
      </c>
      <c r="E126" s="11">
        <v>5</v>
      </c>
      <c r="F126" s="11">
        <v>1675</v>
      </c>
      <c r="G126" s="11">
        <v>596.80000000000007</v>
      </c>
      <c r="H126" s="11">
        <v>148.77171428571444</v>
      </c>
      <c r="I126" s="11">
        <f t="shared" si="1"/>
        <v>335</v>
      </c>
    </row>
    <row r="127" spans="1:9" x14ac:dyDescent="0.3">
      <c r="A127" s="11" t="s">
        <v>32</v>
      </c>
      <c r="B127" s="11" t="s">
        <v>28</v>
      </c>
      <c r="C127" s="11" t="s">
        <v>12</v>
      </c>
      <c r="D127" s="12" t="s">
        <v>11</v>
      </c>
      <c r="E127" s="11">
        <v>5</v>
      </c>
      <c r="F127" s="11">
        <v>3000</v>
      </c>
      <c r="G127" s="11">
        <v>759.7</v>
      </c>
      <c r="H127" s="11">
        <v>292.12585714285751</v>
      </c>
      <c r="I127" s="11">
        <f t="shared" si="1"/>
        <v>600</v>
      </c>
    </row>
    <row r="128" spans="1:9" x14ac:dyDescent="0.3">
      <c r="A128" s="9" t="s">
        <v>32</v>
      </c>
      <c r="B128" s="9" t="s">
        <v>28</v>
      </c>
      <c r="C128" s="9" t="s">
        <v>13</v>
      </c>
      <c r="D128" s="10" t="s">
        <v>14</v>
      </c>
      <c r="E128" s="11">
        <v>5</v>
      </c>
      <c r="F128" s="11">
        <v>1875</v>
      </c>
      <c r="G128" s="11">
        <v>764.95</v>
      </c>
      <c r="H128" s="11">
        <v>157.45462500000002</v>
      </c>
      <c r="I128" s="11">
        <f t="shared" si="1"/>
        <v>375</v>
      </c>
    </row>
    <row r="129" spans="1:9" x14ac:dyDescent="0.3">
      <c r="A129" s="11" t="s">
        <v>32</v>
      </c>
      <c r="B129" s="11" t="s">
        <v>28</v>
      </c>
      <c r="C129" s="11" t="s">
        <v>18</v>
      </c>
      <c r="D129" s="12" t="s">
        <v>17</v>
      </c>
      <c r="E129" s="11">
        <v>5</v>
      </c>
      <c r="F129" s="11">
        <v>2875</v>
      </c>
      <c r="G129" s="11">
        <v>775</v>
      </c>
      <c r="H129" s="11">
        <v>276.48214285714317</v>
      </c>
      <c r="I129" s="11">
        <f t="shared" si="1"/>
        <v>575</v>
      </c>
    </row>
    <row r="130" spans="1:9" x14ac:dyDescent="0.3">
      <c r="A130" s="9" t="s">
        <v>32</v>
      </c>
      <c r="B130" s="9" t="s">
        <v>28</v>
      </c>
      <c r="C130" s="9" t="s">
        <v>10</v>
      </c>
      <c r="D130" s="10" t="s">
        <v>11</v>
      </c>
      <c r="E130" s="11">
        <v>15</v>
      </c>
      <c r="F130" s="11">
        <v>5025</v>
      </c>
      <c r="G130" s="11">
        <v>1737.9</v>
      </c>
      <c r="H130" s="11">
        <v>449.01514285714313</v>
      </c>
      <c r="I130" s="11">
        <f t="shared" si="1"/>
        <v>335</v>
      </c>
    </row>
    <row r="131" spans="1:9" x14ac:dyDescent="0.3">
      <c r="A131" s="11" t="s">
        <v>32</v>
      </c>
      <c r="B131" s="11" t="s">
        <v>9</v>
      </c>
      <c r="C131" s="11" t="s">
        <v>16</v>
      </c>
      <c r="D131" s="12" t="s">
        <v>17</v>
      </c>
      <c r="E131" s="11">
        <v>20</v>
      </c>
      <c r="F131" s="11">
        <v>5980</v>
      </c>
      <c r="G131" s="11">
        <v>1814</v>
      </c>
      <c r="H131" s="11">
        <v>555.19714285714315</v>
      </c>
      <c r="I131" s="11">
        <f t="shared" ref="I131:I157" si="2">IFERROR((F131/E131),0)</f>
        <v>299</v>
      </c>
    </row>
    <row r="132" spans="1:9" x14ac:dyDescent="0.3">
      <c r="A132" s="9" t="s">
        <v>32</v>
      </c>
      <c r="B132" s="9" t="s">
        <v>9</v>
      </c>
      <c r="C132" s="9" t="s">
        <v>18</v>
      </c>
      <c r="D132" s="10" t="s">
        <v>17</v>
      </c>
      <c r="E132" s="11">
        <v>5</v>
      </c>
      <c r="F132" s="11">
        <v>2875</v>
      </c>
      <c r="G132" s="11">
        <v>775</v>
      </c>
      <c r="H132" s="11">
        <v>276.48214285714317</v>
      </c>
      <c r="I132" s="11">
        <f t="shared" si="2"/>
        <v>575</v>
      </c>
    </row>
    <row r="133" spans="1:9" x14ac:dyDescent="0.3">
      <c r="A133" s="11" t="s">
        <v>32</v>
      </c>
      <c r="B133" s="11" t="s">
        <v>9</v>
      </c>
      <c r="C133" s="11" t="s">
        <v>10</v>
      </c>
      <c r="D133" s="12" t="s">
        <v>11</v>
      </c>
      <c r="E133" s="11">
        <v>10</v>
      </c>
      <c r="F133" s="11">
        <v>3350</v>
      </c>
      <c r="G133" s="11">
        <v>1193.6000000000001</v>
      </c>
      <c r="H133" s="11">
        <v>297.54342857142888</v>
      </c>
      <c r="I133" s="11">
        <f t="shared" si="2"/>
        <v>335</v>
      </c>
    </row>
    <row r="134" spans="1:9" x14ac:dyDescent="0.3">
      <c r="A134" s="9" t="s">
        <v>32</v>
      </c>
      <c r="B134" s="9" t="s">
        <v>9</v>
      </c>
      <c r="C134" s="9" t="s">
        <v>12</v>
      </c>
      <c r="D134" s="10" t="s">
        <v>11</v>
      </c>
      <c r="E134" s="11">
        <v>5</v>
      </c>
      <c r="F134" s="11">
        <v>3000</v>
      </c>
      <c r="G134" s="11">
        <v>759.7</v>
      </c>
      <c r="H134" s="11">
        <v>292.12585714285751</v>
      </c>
      <c r="I134" s="11">
        <f t="shared" si="2"/>
        <v>600</v>
      </c>
    </row>
    <row r="135" spans="1:9" x14ac:dyDescent="0.3">
      <c r="A135" s="11" t="s">
        <v>32</v>
      </c>
      <c r="B135" s="11" t="s">
        <v>9</v>
      </c>
      <c r="C135" s="11" t="s">
        <v>15</v>
      </c>
      <c r="D135" s="12" t="s">
        <v>14</v>
      </c>
      <c r="E135" s="11">
        <v>10</v>
      </c>
      <c r="F135" s="11">
        <v>1650</v>
      </c>
      <c r="G135" s="11">
        <v>646.20000000000005</v>
      </c>
      <c r="H135" s="11">
        <v>142.86021428571445</v>
      </c>
      <c r="I135" s="11">
        <f t="shared" si="2"/>
        <v>165</v>
      </c>
    </row>
    <row r="136" spans="1:9" x14ac:dyDescent="0.3">
      <c r="A136" s="9" t="s">
        <v>32</v>
      </c>
      <c r="B136" s="9" t="s">
        <v>9</v>
      </c>
      <c r="C136" s="9" t="s">
        <v>16</v>
      </c>
      <c r="D136" s="10" t="s">
        <v>17</v>
      </c>
      <c r="E136" s="11">
        <v>20</v>
      </c>
      <c r="F136" s="11">
        <v>5980</v>
      </c>
      <c r="G136" s="11">
        <v>1398.15</v>
      </c>
      <c r="H136" s="11">
        <v>574.80150000000037</v>
      </c>
      <c r="I136" s="11">
        <f t="shared" si="2"/>
        <v>299</v>
      </c>
    </row>
    <row r="137" spans="1:9" x14ac:dyDescent="0.3">
      <c r="A137" s="11" t="s">
        <v>32</v>
      </c>
      <c r="B137" s="11" t="s">
        <v>9</v>
      </c>
      <c r="C137" s="11" t="s">
        <v>18</v>
      </c>
      <c r="D137" s="12" t="s">
        <v>17</v>
      </c>
      <c r="E137" s="11">
        <v>10</v>
      </c>
      <c r="F137" s="11">
        <v>5750</v>
      </c>
      <c r="G137" s="11">
        <v>1439.5</v>
      </c>
      <c r="H137" s="11">
        <v>557.46321428571491</v>
      </c>
      <c r="I137" s="11">
        <f t="shared" si="2"/>
        <v>575</v>
      </c>
    </row>
    <row r="138" spans="1:9" x14ac:dyDescent="0.3">
      <c r="A138" s="9" t="s">
        <v>32</v>
      </c>
      <c r="B138" s="9" t="s">
        <v>9</v>
      </c>
      <c r="C138" s="9" t="s">
        <v>10</v>
      </c>
      <c r="D138" s="10" t="s">
        <v>11</v>
      </c>
      <c r="E138" s="11">
        <v>10</v>
      </c>
      <c r="F138" s="11">
        <v>3350</v>
      </c>
      <c r="G138" s="11">
        <v>596.80000000000007</v>
      </c>
      <c r="H138" s="11">
        <v>328.23599999999999</v>
      </c>
      <c r="I138" s="11">
        <f t="shared" si="2"/>
        <v>335</v>
      </c>
    </row>
    <row r="139" spans="1:9" x14ac:dyDescent="0.3">
      <c r="A139" s="11" t="s">
        <v>32</v>
      </c>
      <c r="B139" s="11" t="s">
        <v>9</v>
      </c>
      <c r="C139" s="11" t="s">
        <v>15</v>
      </c>
      <c r="D139" s="12" t="s">
        <v>14</v>
      </c>
      <c r="E139" s="11">
        <v>5</v>
      </c>
      <c r="F139" s="11">
        <v>825</v>
      </c>
      <c r="G139" s="11">
        <v>0</v>
      </c>
      <c r="H139" s="11">
        <v>88.392857142857224</v>
      </c>
      <c r="I139" s="11">
        <f t="shared" si="2"/>
        <v>165</v>
      </c>
    </row>
    <row r="140" spans="1:9" x14ac:dyDescent="0.3">
      <c r="A140" s="9" t="s">
        <v>32</v>
      </c>
      <c r="B140" s="9" t="s">
        <v>9</v>
      </c>
      <c r="C140" s="9" t="s">
        <v>13</v>
      </c>
      <c r="D140" s="10" t="s">
        <v>14</v>
      </c>
      <c r="E140" s="11">
        <v>5</v>
      </c>
      <c r="F140" s="11">
        <v>1875</v>
      </c>
      <c r="G140" s="11">
        <v>820.45</v>
      </c>
      <c r="H140" s="11">
        <v>154.30301785714306</v>
      </c>
      <c r="I140" s="11">
        <f t="shared" si="2"/>
        <v>375</v>
      </c>
    </row>
    <row r="141" spans="1:9" x14ac:dyDescent="0.3">
      <c r="A141" s="11" t="s">
        <v>32</v>
      </c>
      <c r="B141" s="11" t="s">
        <v>9</v>
      </c>
      <c r="C141" s="11" t="s">
        <v>24</v>
      </c>
      <c r="D141" s="12" t="s">
        <v>23</v>
      </c>
      <c r="E141" s="11">
        <v>5</v>
      </c>
      <c r="F141" s="11">
        <v>2250</v>
      </c>
      <c r="G141" s="11">
        <v>800.55000000000007</v>
      </c>
      <c r="H141" s="11">
        <v>199.04255357142887</v>
      </c>
      <c r="I141" s="11">
        <f t="shared" si="2"/>
        <v>450</v>
      </c>
    </row>
    <row r="142" spans="1:9" x14ac:dyDescent="0.3">
      <c r="A142" s="9" t="s">
        <v>32</v>
      </c>
      <c r="B142" s="9" t="s">
        <v>9</v>
      </c>
      <c r="C142" s="9" t="s">
        <v>16</v>
      </c>
      <c r="D142" s="10" t="s">
        <v>17</v>
      </c>
      <c r="E142" s="11">
        <v>15</v>
      </c>
      <c r="F142" s="11">
        <v>4485</v>
      </c>
      <c r="G142" s="11">
        <v>1398.15</v>
      </c>
      <c r="H142" s="11">
        <v>414.6229285714287</v>
      </c>
      <c r="I142" s="11">
        <f t="shared" si="2"/>
        <v>299</v>
      </c>
    </row>
    <row r="143" spans="1:9" x14ac:dyDescent="0.3">
      <c r="A143" s="11" t="s">
        <v>32</v>
      </c>
      <c r="B143" s="11" t="s">
        <v>9</v>
      </c>
      <c r="C143" s="11" t="s">
        <v>10</v>
      </c>
      <c r="D143" s="12" t="s">
        <v>11</v>
      </c>
      <c r="E143" s="11">
        <v>5</v>
      </c>
      <c r="F143" s="11">
        <v>1675</v>
      </c>
      <c r="G143" s="11">
        <v>596.80000000000007</v>
      </c>
      <c r="H143" s="11">
        <v>148.77171428571444</v>
      </c>
      <c r="I143" s="11">
        <f t="shared" si="2"/>
        <v>335</v>
      </c>
    </row>
    <row r="144" spans="1:9" x14ac:dyDescent="0.3">
      <c r="A144" s="9" t="s">
        <v>32</v>
      </c>
      <c r="B144" s="9" t="s">
        <v>9</v>
      </c>
      <c r="C144" s="9" t="s">
        <v>15</v>
      </c>
      <c r="D144" s="10" t="s">
        <v>14</v>
      </c>
      <c r="E144" s="11">
        <v>15</v>
      </c>
      <c r="F144" s="11">
        <v>2475</v>
      </c>
      <c r="G144" s="11">
        <v>865</v>
      </c>
      <c r="H144" s="11">
        <v>219.76607142857148</v>
      </c>
      <c r="I144" s="11">
        <f t="shared" si="2"/>
        <v>165</v>
      </c>
    </row>
    <row r="145" spans="1:9" x14ac:dyDescent="0.3">
      <c r="A145" s="11" t="s">
        <v>32</v>
      </c>
      <c r="B145" s="11" t="s">
        <v>9</v>
      </c>
      <c r="C145" s="11" t="s">
        <v>13</v>
      </c>
      <c r="D145" s="12" t="s">
        <v>14</v>
      </c>
      <c r="E145" s="11">
        <v>5</v>
      </c>
      <c r="F145" s="11">
        <v>1875</v>
      </c>
      <c r="G145" s="11">
        <v>764.95</v>
      </c>
      <c r="H145" s="11">
        <v>157.45462500000002</v>
      </c>
      <c r="I145" s="11">
        <f t="shared" si="2"/>
        <v>375</v>
      </c>
    </row>
    <row r="146" spans="1:9" x14ac:dyDescent="0.3">
      <c r="A146" s="9" t="s">
        <v>32</v>
      </c>
      <c r="B146" s="9" t="s">
        <v>9</v>
      </c>
      <c r="C146" s="9" t="s">
        <v>16</v>
      </c>
      <c r="D146" s="10" t="s">
        <v>17</v>
      </c>
      <c r="E146" s="11">
        <v>5</v>
      </c>
      <c r="F146" s="11">
        <v>1495</v>
      </c>
      <c r="G146" s="11">
        <v>466.05000000000007</v>
      </c>
      <c r="H146" s="11">
        <v>138.2076428571429</v>
      </c>
      <c r="I146" s="11">
        <f t="shared" si="2"/>
        <v>299</v>
      </c>
    </row>
    <row r="147" spans="1:9" x14ac:dyDescent="0.3">
      <c r="A147" s="11" t="s">
        <v>32</v>
      </c>
      <c r="B147" s="11" t="s">
        <v>9</v>
      </c>
      <c r="C147" s="11" t="s">
        <v>18</v>
      </c>
      <c r="D147" s="12" t="s">
        <v>17</v>
      </c>
      <c r="E147" s="11">
        <v>5</v>
      </c>
      <c r="F147" s="11">
        <v>2875</v>
      </c>
      <c r="G147" s="11">
        <v>775</v>
      </c>
      <c r="H147" s="11">
        <v>276.48214285714317</v>
      </c>
      <c r="I147" s="11">
        <f t="shared" si="2"/>
        <v>575</v>
      </c>
    </row>
    <row r="148" spans="1:9" x14ac:dyDescent="0.3">
      <c r="A148" s="9" t="s">
        <v>32</v>
      </c>
      <c r="B148" s="9" t="s">
        <v>9</v>
      </c>
      <c r="C148" s="9" t="s">
        <v>24</v>
      </c>
      <c r="D148" s="10" t="s">
        <v>23</v>
      </c>
      <c r="E148" s="11">
        <v>5</v>
      </c>
      <c r="F148" s="11">
        <v>2250</v>
      </c>
      <c r="G148" s="11">
        <v>800.55000000000007</v>
      </c>
      <c r="H148" s="11">
        <v>199.04255357142887</v>
      </c>
      <c r="I148" s="11">
        <f t="shared" si="2"/>
        <v>450</v>
      </c>
    </row>
    <row r="149" spans="1:9" x14ac:dyDescent="0.3">
      <c r="A149" s="11" t="s">
        <v>32</v>
      </c>
      <c r="B149" s="11" t="s">
        <v>9</v>
      </c>
      <c r="C149" s="11" t="s">
        <v>18</v>
      </c>
      <c r="D149" s="12" t="s">
        <v>17</v>
      </c>
      <c r="E149" s="11">
        <v>5</v>
      </c>
      <c r="F149" s="11">
        <v>2875</v>
      </c>
      <c r="G149" s="11">
        <v>775</v>
      </c>
      <c r="H149" s="11">
        <v>276.48214285714317</v>
      </c>
      <c r="I149" s="11">
        <f t="shared" si="2"/>
        <v>575</v>
      </c>
    </row>
    <row r="150" spans="1:9" x14ac:dyDescent="0.3">
      <c r="A150" s="9" t="s">
        <v>32</v>
      </c>
      <c r="B150" s="9" t="s">
        <v>9</v>
      </c>
      <c r="C150" s="9" t="s">
        <v>15</v>
      </c>
      <c r="D150" s="10" t="s">
        <v>14</v>
      </c>
      <c r="E150" s="11">
        <v>10</v>
      </c>
      <c r="F150" s="11">
        <v>1650</v>
      </c>
      <c r="G150" s="11">
        <v>568.29999999999995</v>
      </c>
      <c r="H150" s="11">
        <v>146.94996428571443</v>
      </c>
      <c r="I150" s="11">
        <f t="shared" si="2"/>
        <v>165</v>
      </c>
    </row>
    <row r="151" spans="1:9" x14ac:dyDescent="0.3">
      <c r="A151" s="11" t="s">
        <v>32</v>
      </c>
      <c r="B151" s="11" t="s">
        <v>9</v>
      </c>
      <c r="C151" s="11" t="s">
        <v>24</v>
      </c>
      <c r="D151" s="12" t="s">
        <v>23</v>
      </c>
      <c r="E151" s="11">
        <v>5</v>
      </c>
      <c r="F151" s="11">
        <v>2250</v>
      </c>
      <c r="G151" s="11">
        <v>800.55000000000007</v>
      </c>
      <c r="H151" s="11">
        <v>199.04255357142887</v>
      </c>
      <c r="I151" s="11">
        <f t="shared" si="2"/>
        <v>450</v>
      </c>
    </row>
    <row r="152" spans="1:9" x14ac:dyDescent="0.3">
      <c r="A152" s="9" t="s">
        <v>32</v>
      </c>
      <c r="B152" s="9" t="s">
        <v>9</v>
      </c>
      <c r="C152" s="9" t="s">
        <v>16</v>
      </c>
      <c r="D152" s="10" t="s">
        <v>17</v>
      </c>
      <c r="E152" s="11">
        <v>15</v>
      </c>
      <c r="F152" s="11">
        <v>4485</v>
      </c>
      <c r="G152" s="11">
        <v>1398.15</v>
      </c>
      <c r="H152" s="11">
        <v>414.6229285714287</v>
      </c>
      <c r="I152" s="11">
        <f t="shared" si="2"/>
        <v>299</v>
      </c>
    </row>
    <row r="153" spans="1:9" x14ac:dyDescent="0.3">
      <c r="A153" s="11" t="s">
        <v>32</v>
      </c>
      <c r="B153" s="11" t="s">
        <v>9</v>
      </c>
      <c r="C153" s="11" t="s">
        <v>18</v>
      </c>
      <c r="D153" s="12" t="s">
        <v>17</v>
      </c>
      <c r="E153" s="11">
        <v>5</v>
      </c>
      <c r="F153" s="11">
        <v>2875</v>
      </c>
      <c r="G153" s="11">
        <v>664.49999999999989</v>
      </c>
      <c r="H153" s="11">
        <v>280.98107142857174</v>
      </c>
      <c r="I153" s="11">
        <f t="shared" si="2"/>
        <v>575</v>
      </c>
    </row>
    <row r="154" spans="1:9" x14ac:dyDescent="0.3">
      <c r="A154" s="9" t="s">
        <v>32</v>
      </c>
      <c r="B154" s="9" t="s">
        <v>9</v>
      </c>
      <c r="C154" s="9" t="s">
        <v>15</v>
      </c>
      <c r="D154" s="10" t="s">
        <v>14</v>
      </c>
      <c r="E154" s="11">
        <v>15</v>
      </c>
      <c r="F154" s="11">
        <v>2475</v>
      </c>
      <c r="G154" s="11">
        <v>942.90000000000009</v>
      </c>
      <c r="H154" s="11">
        <v>215.6763214285715</v>
      </c>
      <c r="I154" s="11">
        <f t="shared" si="2"/>
        <v>165</v>
      </c>
    </row>
    <row r="155" spans="1:9" x14ac:dyDescent="0.3">
      <c r="A155" s="11" t="s">
        <v>32</v>
      </c>
      <c r="B155" s="11" t="s">
        <v>9</v>
      </c>
      <c r="C155" s="11" t="s">
        <v>16</v>
      </c>
      <c r="D155" s="12" t="s">
        <v>17</v>
      </c>
      <c r="E155" s="11">
        <v>5</v>
      </c>
      <c r="F155" s="11">
        <v>1495</v>
      </c>
      <c r="G155" s="11">
        <v>466.05000000000007</v>
      </c>
      <c r="H155" s="11">
        <v>138.2076428571429</v>
      </c>
      <c r="I155" s="11">
        <f t="shared" si="2"/>
        <v>299</v>
      </c>
    </row>
    <row r="156" spans="1:9" x14ac:dyDescent="0.3">
      <c r="A156" s="9" t="s">
        <v>32</v>
      </c>
      <c r="B156" s="9" t="s">
        <v>9</v>
      </c>
      <c r="C156" s="9" t="s">
        <v>13</v>
      </c>
      <c r="D156" s="10" t="s">
        <v>14</v>
      </c>
      <c r="E156" s="11">
        <v>10</v>
      </c>
      <c r="F156" s="11">
        <v>3750</v>
      </c>
      <c r="G156" s="11">
        <v>1529.9</v>
      </c>
      <c r="H156" s="11">
        <v>314.90925000000004</v>
      </c>
      <c r="I156" s="11">
        <f t="shared" si="2"/>
        <v>375</v>
      </c>
    </row>
    <row r="157" spans="1:9" x14ac:dyDescent="0.3">
      <c r="A157" s="11" t="s">
        <v>32</v>
      </c>
      <c r="B157" s="11" t="s">
        <v>9</v>
      </c>
      <c r="C157" s="11" t="s">
        <v>22</v>
      </c>
      <c r="D157" s="12" t="s">
        <v>23</v>
      </c>
      <c r="E157" s="11">
        <v>5</v>
      </c>
      <c r="F157" s="11">
        <v>995</v>
      </c>
      <c r="G157" s="11">
        <v>222.24999999999994</v>
      </c>
      <c r="H157" s="11">
        <v>96.605892857142948</v>
      </c>
      <c r="I157" s="11">
        <f t="shared" si="2"/>
        <v>199</v>
      </c>
    </row>
    <row r="158" spans="1:9" x14ac:dyDescent="0.3">
      <c r="A158" s="9"/>
      <c r="B158" s="9"/>
      <c r="C158" s="9"/>
      <c r="D158" s="10"/>
    </row>
    <row r="159" spans="1:9" x14ac:dyDescent="0.3">
      <c r="C159" s="11"/>
    </row>
    <row r="160" spans="1:9" x14ac:dyDescent="0.3">
      <c r="A160" s="9"/>
      <c r="B160" s="9"/>
      <c r="C160" s="9"/>
      <c r="D160" s="10"/>
    </row>
    <row r="161" spans="1:4" x14ac:dyDescent="0.3">
      <c r="C161" s="11"/>
    </row>
    <row r="162" spans="1:4" x14ac:dyDescent="0.3">
      <c r="A162" s="9"/>
      <c r="B162" s="9"/>
      <c r="C162" s="9"/>
      <c r="D162" s="10"/>
    </row>
    <row r="163" spans="1:4" x14ac:dyDescent="0.3">
      <c r="C163" s="11"/>
    </row>
    <row r="164" spans="1:4" x14ac:dyDescent="0.3">
      <c r="A164" s="9"/>
      <c r="B164" s="9"/>
      <c r="C164" s="9"/>
      <c r="D164" s="10"/>
    </row>
    <row r="165" spans="1:4" x14ac:dyDescent="0.3">
      <c r="C165" s="11"/>
    </row>
    <row r="166" spans="1:4" x14ac:dyDescent="0.3">
      <c r="A166" s="9"/>
      <c r="B166" s="9"/>
      <c r="C166" s="9"/>
      <c r="D166" s="10"/>
    </row>
    <row r="167" spans="1:4" x14ac:dyDescent="0.3">
      <c r="C167" s="11"/>
    </row>
    <row r="168" spans="1:4" x14ac:dyDescent="0.3">
      <c r="A168" s="9"/>
      <c r="B168" s="9"/>
      <c r="C168" s="9"/>
      <c r="D168" s="10"/>
    </row>
    <row r="169" spans="1:4" x14ac:dyDescent="0.3">
      <c r="C169" s="11"/>
    </row>
    <row r="170" spans="1:4" x14ac:dyDescent="0.3">
      <c r="A170" s="9"/>
      <c r="B170" s="9"/>
      <c r="C170" s="9"/>
      <c r="D170" s="10"/>
    </row>
    <row r="171" spans="1:4" x14ac:dyDescent="0.3">
      <c r="C171" s="11"/>
    </row>
    <row r="172" spans="1:4" x14ac:dyDescent="0.3">
      <c r="A172" s="9"/>
      <c r="B172" s="9"/>
      <c r="C172" s="9"/>
      <c r="D172" s="10"/>
    </row>
    <row r="173" spans="1:4" x14ac:dyDescent="0.3">
      <c r="C173" s="11"/>
    </row>
    <row r="174" spans="1:4" x14ac:dyDescent="0.3">
      <c r="A174" s="9"/>
      <c r="B174" s="9"/>
      <c r="C174" s="9"/>
      <c r="D174" s="10"/>
    </row>
    <row r="175" spans="1:4" x14ac:dyDescent="0.3">
      <c r="C175" s="11"/>
    </row>
    <row r="176" spans="1:4" x14ac:dyDescent="0.3">
      <c r="A176" s="9"/>
      <c r="B176" s="9"/>
      <c r="C176" s="9"/>
      <c r="D176" s="10"/>
    </row>
    <row r="177" spans="1:4" x14ac:dyDescent="0.3">
      <c r="C177" s="11"/>
    </row>
    <row r="178" spans="1:4" x14ac:dyDescent="0.3">
      <c r="A178" s="9"/>
      <c r="B178" s="9"/>
      <c r="C178" s="9"/>
      <c r="D178" s="10"/>
    </row>
    <row r="179" spans="1:4" x14ac:dyDescent="0.3">
      <c r="C179" s="11"/>
    </row>
    <row r="180" spans="1:4" x14ac:dyDescent="0.3">
      <c r="A180" s="9"/>
      <c r="B180" s="9"/>
      <c r="C180" s="9"/>
      <c r="D180" s="10"/>
    </row>
    <row r="181" spans="1:4" x14ac:dyDescent="0.3">
      <c r="C181" s="11"/>
    </row>
    <row r="182" spans="1:4" x14ac:dyDescent="0.3">
      <c r="A182" s="9"/>
      <c r="B182" s="9"/>
      <c r="C182" s="9"/>
      <c r="D182" s="10"/>
    </row>
    <row r="183" spans="1:4" x14ac:dyDescent="0.3">
      <c r="C183" s="11"/>
    </row>
    <row r="184" spans="1:4" x14ac:dyDescent="0.3">
      <c r="A184" s="9"/>
      <c r="B184" s="9"/>
      <c r="C184" s="9"/>
      <c r="D184" s="10"/>
    </row>
    <row r="185" spans="1:4" x14ac:dyDescent="0.3">
      <c r="C185" s="11"/>
    </row>
    <row r="186" spans="1:4" x14ac:dyDescent="0.3">
      <c r="A186" s="9"/>
      <c r="B186" s="9"/>
      <c r="C186" s="9"/>
      <c r="D186" s="10"/>
    </row>
    <row r="187" spans="1:4" x14ac:dyDescent="0.3">
      <c r="C187" s="11"/>
    </row>
    <row r="188" spans="1:4" x14ac:dyDescent="0.3">
      <c r="A188" s="9"/>
      <c r="B188" s="9"/>
      <c r="C188" s="9"/>
      <c r="D188" s="10"/>
    </row>
    <row r="189" spans="1:4" x14ac:dyDescent="0.3">
      <c r="C189" s="11"/>
    </row>
    <row r="190" spans="1:4" x14ac:dyDescent="0.3">
      <c r="A190" s="9"/>
      <c r="B190" s="9"/>
      <c r="C190" s="9"/>
      <c r="D190" s="10"/>
    </row>
    <row r="191" spans="1:4" x14ac:dyDescent="0.3">
      <c r="C191" s="11"/>
    </row>
    <row r="192" spans="1:4" x14ac:dyDescent="0.3">
      <c r="A192" s="9"/>
      <c r="B192" s="9"/>
      <c r="C192" s="9"/>
      <c r="D192" s="10"/>
    </row>
    <row r="193" spans="1:4" x14ac:dyDescent="0.3">
      <c r="C193" s="11"/>
    </row>
    <row r="194" spans="1:4" x14ac:dyDescent="0.3">
      <c r="A194" s="9"/>
      <c r="B194" s="9"/>
      <c r="C194" s="9"/>
      <c r="D194" s="10"/>
    </row>
    <row r="195" spans="1:4" x14ac:dyDescent="0.3">
      <c r="C195" s="11"/>
    </row>
    <row r="196" spans="1:4" x14ac:dyDescent="0.3">
      <c r="A196" s="9"/>
      <c r="B196" s="9"/>
      <c r="C196" s="9"/>
      <c r="D196" s="10"/>
    </row>
    <row r="197" spans="1:4" x14ac:dyDescent="0.3">
      <c r="C197" s="11"/>
    </row>
    <row r="198" spans="1:4" x14ac:dyDescent="0.3">
      <c r="A198" s="9"/>
      <c r="B198" s="9"/>
      <c r="C198" s="9"/>
      <c r="D198" s="10"/>
    </row>
    <row r="199" spans="1:4" x14ac:dyDescent="0.3">
      <c r="C199" s="11"/>
    </row>
    <row r="200" spans="1:4" x14ac:dyDescent="0.3">
      <c r="A200" s="9"/>
      <c r="B200" s="9"/>
      <c r="C200" s="9"/>
      <c r="D200" s="10"/>
    </row>
    <row r="201" spans="1:4" x14ac:dyDescent="0.3">
      <c r="C201" s="11"/>
    </row>
    <row r="202" spans="1:4" x14ac:dyDescent="0.3">
      <c r="A202" s="9"/>
      <c r="B202" s="9"/>
      <c r="C202" s="9"/>
      <c r="D202" s="10"/>
    </row>
    <row r="203" spans="1:4" x14ac:dyDescent="0.3">
      <c r="C203" s="11"/>
    </row>
    <row r="204" spans="1:4" x14ac:dyDescent="0.3">
      <c r="A204" s="9"/>
      <c r="B204" s="9"/>
      <c r="C204" s="9"/>
      <c r="D204" s="10"/>
    </row>
    <row r="205" spans="1:4" x14ac:dyDescent="0.3">
      <c r="C205" s="11"/>
    </row>
    <row r="206" spans="1:4" x14ac:dyDescent="0.3">
      <c r="A206" s="9"/>
      <c r="B206" s="9"/>
      <c r="C206" s="9"/>
      <c r="D206" s="10"/>
    </row>
    <row r="207" spans="1:4" x14ac:dyDescent="0.3">
      <c r="C207" s="11"/>
    </row>
    <row r="208" spans="1:4" x14ac:dyDescent="0.3">
      <c r="A208" s="9"/>
      <c r="B208" s="9"/>
      <c r="C208" s="9"/>
      <c r="D208" s="10"/>
    </row>
    <row r="209" spans="1:4" x14ac:dyDescent="0.3">
      <c r="C209" s="11"/>
    </row>
    <row r="210" spans="1:4" x14ac:dyDescent="0.3">
      <c r="A210" s="9"/>
      <c r="B210" s="9"/>
      <c r="C210" s="9"/>
      <c r="D210" s="10"/>
    </row>
    <row r="211" spans="1:4" x14ac:dyDescent="0.3">
      <c r="C211" s="11"/>
    </row>
    <row r="212" spans="1:4" x14ac:dyDescent="0.3">
      <c r="A212" s="9"/>
      <c r="B212" s="9"/>
      <c r="C212" s="9"/>
      <c r="D212" s="10"/>
    </row>
    <row r="213" spans="1:4" x14ac:dyDescent="0.3">
      <c r="C213" s="11"/>
    </row>
    <row r="214" spans="1:4" x14ac:dyDescent="0.3">
      <c r="A214" s="9"/>
      <c r="B214" s="9"/>
      <c r="C214" s="9"/>
      <c r="D214" s="10"/>
    </row>
    <row r="215" spans="1:4" x14ac:dyDescent="0.3">
      <c r="C215" s="11"/>
    </row>
    <row r="216" spans="1:4" x14ac:dyDescent="0.3">
      <c r="A216" s="9"/>
      <c r="B216" s="9"/>
      <c r="C216" s="9"/>
      <c r="D216" s="10"/>
    </row>
    <row r="217" spans="1:4" x14ac:dyDescent="0.3">
      <c r="C217" s="11"/>
    </row>
    <row r="218" spans="1:4" x14ac:dyDescent="0.3">
      <c r="A218" s="9"/>
      <c r="B218" s="9"/>
      <c r="C218" s="9"/>
      <c r="D218" s="10"/>
    </row>
    <row r="219" spans="1:4" x14ac:dyDescent="0.3">
      <c r="C219" s="11"/>
    </row>
    <row r="220" spans="1:4" x14ac:dyDescent="0.3">
      <c r="A220" s="9"/>
      <c r="B220" s="9"/>
      <c r="C220" s="9"/>
      <c r="D220" s="10"/>
    </row>
    <row r="221" spans="1:4" x14ac:dyDescent="0.3">
      <c r="C221" s="11"/>
    </row>
    <row r="222" spans="1:4" x14ac:dyDescent="0.3">
      <c r="A222" s="9"/>
      <c r="B222" s="9"/>
      <c r="C222" s="9"/>
      <c r="D222" s="10"/>
    </row>
    <row r="223" spans="1:4" x14ac:dyDescent="0.3">
      <c r="C223" s="11"/>
    </row>
    <row r="224" spans="1:4" x14ac:dyDescent="0.3">
      <c r="A224" s="9"/>
      <c r="B224" s="9"/>
      <c r="C224" s="9"/>
      <c r="D224" s="10"/>
    </row>
    <row r="225" spans="1:4" x14ac:dyDescent="0.3">
      <c r="C225" s="11"/>
    </row>
    <row r="226" spans="1:4" x14ac:dyDescent="0.3">
      <c r="A226" s="9"/>
      <c r="B226" s="9"/>
      <c r="C226" s="9"/>
      <c r="D226" s="10"/>
    </row>
    <row r="227" spans="1:4" x14ac:dyDescent="0.3">
      <c r="C227" s="11"/>
    </row>
    <row r="228" spans="1:4" x14ac:dyDescent="0.3">
      <c r="A228" s="9"/>
      <c r="B228" s="9"/>
      <c r="C228" s="9"/>
      <c r="D228" s="10"/>
    </row>
    <row r="229" spans="1:4" x14ac:dyDescent="0.3">
      <c r="C229" s="11"/>
    </row>
    <row r="230" spans="1:4" x14ac:dyDescent="0.3">
      <c r="A230" s="9"/>
      <c r="B230" s="9"/>
      <c r="C230" s="9"/>
      <c r="D230" s="10"/>
    </row>
    <row r="231" spans="1:4" x14ac:dyDescent="0.3">
      <c r="C231" s="11"/>
    </row>
    <row r="232" spans="1:4" x14ac:dyDescent="0.3">
      <c r="A232" s="9"/>
      <c r="B232" s="9"/>
      <c r="C232" s="9"/>
      <c r="D232" s="10"/>
    </row>
    <row r="233" spans="1:4" x14ac:dyDescent="0.3">
      <c r="C233" s="11"/>
    </row>
    <row r="234" spans="1:4" x14ac:dyDescent="0.3">
      <c r="A234" s="9"/>
      <c r="B234" s="9"/>
      <c r="C234" s="9"/>
      <c r="D234" s="10"/>
    </row>
    <row r="235" spans="1:4" x14ac:dyDescent="0.3">
      <c r="C235" s="11"/>
    </row>
    <row r="236" spans="1:4" x14ac:dyDescent="0.3">
      <c r="A236" s="9"/>
      <c r="B236" s="9"/>
      <c r="C236" s="9"/>
      <c r="D236" s="10"/>
    </row>
    <row r="237" spans="1:4" x14ac:dyDescent="0.3">
      <c r="C237" s="11"/>
    </row>
    <row r="238" spans="1:4" x14ac:dyDescent="0.3">
      <c r="A238" s="9"/>
      <c r="B238" s="9"/>
      <c r="C238" s="9"/>
      <c r="D238" s="10"/>
    </row>
    <row r="239" spans="1:4" x14ac:dyDescent="0.3">
      <c r="C239" s="11"/>
    </row>
    <row r="240" spans="1:4" x14ac:dyDescent="0.3">
      <c r="A240" s="9"/>
      <c r="B240" s="9"/>
      <c r="C240" s="9"/>
      <c r="D240" s="10"/>
    </row>
    <row r="241" spans="1:4" x14ac:dyDescent="0.3">
      <c r="C241" s="11"/>
    </row>
    <row r="242" spans="1:4" x14ac:dyDescent="0.3">
      <c r="A242" s="9"/>
      <c r="B242" s="9"/>
      <c r="C242" s="9"/>
      <c r="D242" s="10"/>
    </row>
    <row r="243" spans="1:4" x14ac:dyDescent="0.3">
      <c r="C243" s="11"/>
    </row>
    <row r="244" spans="1:4" x14ac:dyDescent="0.3">
      <c r="A244" s="9"/>
      <c r="B244" s="9"/>
      <c r="C244" s="9"/>
      <c r="D244" s="10"/>
    </row>
    <row r="245" spans="1:4" x14ac:dyDescent="0.3">
      <c r="C245" s="11"/>
    </row>
    <row r="246" spans="1:4" x14ac:dyDescent="0.3">
      <c r="A246" s="9"/>
      <c r="B246" s="9"/>
      <c r="C246" s="9"/>
      <c r="D246" s="10"/>
    </row>
    <row r="247" spans="1:4" x14ac:dyDescent="0.3">
      <c r="C247" s="11"/>
    </row>
    <row r="248" spans="1:4" x14ac:dyDescent="0.3">
      <c r="A248" s="9"/>
      <c r="B248" s="9"/>
      <c r="C248" s="9"/>
      <c r="D248" s="10"/>
    </row>
    <row r="249" spans="1:4" x14ac:dyDescent="0.3">
      <c r="C249" s="11"/>
    </row>
    <row r="250" spans="1:4" x14ac:dyDescent="0.3">
      <c r="A250" s="9"/>
      <c r="B250" s="9"/>
      <c r="C250" s="9"/>
      <c r="D250" s="10"/>
    </row>
    <row r="251" spans="1:4" x14ac:dyDescent="0.3">
      <c r="C251" s="11"/>
    </row>
    <row r="252" spans="1:4" x14ac:dyDescent="0.3">
      <c r="A252" s="9"/>
      <c r="B252" s="9"/>
      <c r="C252" s="9"/>
      <c r="D252" s="10"/>
    </row>
    <row r="253" spans="1:4" x14ac:dyDescent="0.3">
      <c r="C253" s="11"/>
    </row>
    <row r="254" spans="1:4" x14ac:dyDescent="0.3">
      <c r="A254" s="9"/>
      <c r="B254" s="9"/>
      <c r="C254" s="9"/>
      <c r="D254" s="10"/>
    </row>
    <row r="255" spans="1:4" x14ac:dyDescent="0.3">
      <c r="C255" s="11"/>
    </row>
    <row r="256" spans="1:4" x14ac:dyDescent="0.3">
      <c r="A256" s="9"/>
      <c r="B256" s="9"/>
      <c r="C256" s="9"/>
      <c r="D256" s="10"/>
    </row>
    <row r="257" spans="1:4" x14ac:dyDescent="0.3">
      <c r="C257" s="11"/>
    </row>
    <row r="258" spans="1:4" x14ac:dyDescent="0.3">
      <c r="A258" s="9"/>
      <c r="B258" s="9"/>
      <c r="C258" s="9"/>
      <c r="D258" s="10"/>
    </row>
    <row r="259" spans="1:4" x14ac:dyDescent="0.3">
      <c r="C259" s="11"/>
    </row>
    <row r="260" spans="1:4" x14ac:dyDescent="0.3">
      <c r="A260" s="9"/>
      <c r="B260" s="9"/>
      <c r="C260" s="9"/>
      <c r="D260" s="10"/>
    </row>
    <row r="261" spans="1:4" x14ac:dyDescent="0.3">
      <c r="C261" s="11"/>
    </row>
    <row r="262" spans="1:4" x14ac:dyDescent="0.3">
      <c r="A262" s="9"/>
      <c r="B262" s="9"/>
      <c r="C262" s="9"/>
      <c r="D262" s="10"/>
    </row>
    <row r="263" spans="1:4" x14ac:dyDescent="0.3">
      <c r="C263" s="11"/>
    </row>
    <row r="264" spans="1:4" x14ac:dyDescent="0.3">
      <c r="A264" s="9"/>
      <c r="B264" s="9"/>
      <c r="C264" s="9"/>
      <c r="D264" s="10"/>
    </row>
    <row r="265" spans="1:4" x14ac:dyDescent="0.3">
      <c r="C265" s="11"/>
    </row>
    <row r="266" spans="1:4" x14ac:dyDescent="0.3">
      <c r="A266" s="9"/>
      <c r="B266" s="9"/>
      <c r="C266" s="9"/>
      <c r="D266" s="10"/>
    </row>
    <row r="267" spans="1:4" x14ac:dyDescent="0.3">
      <c r="C267" s="11"/>
    </row>
    <row r="268" spans="1:4" x14ac:dyDescent="0.3">
      <c r="A268" s="9"/>
      <c r="B268" s="9"/>
      <c r="C268" s="9"/>
      <c r="D268" s="10"/>
    </row>
    <row r="269" spans="1:4" x14ac:dyDescent="0.3">
      <c r="C269" s="11"/>
    </row>
    <row r="270" spans="1:4" x14ac:dyDescent="0.3">
      <c r="A270" s="9"/>
      <c r="B270" s="9"/>
      <c r="C270" s="9"/>
      <c r="D270" s="10"/>
    </row>
    <row r="271" spans="1:4" x14ac:dyDescent="0.3">
      <c r="C271" s="11"/>
    </row>
    <row r="272" spans="1:4" x14ac:dyDescent="0.3">
      <c r="A272" s="9"/>
      <c r="B272" s="9"/>
      <c r="C272" s="9"/>
      <c r="D272" s="10"/>
    </row>
    <row r="273" spans="1:4" x14ac:dyDescent="0.3">
      <c r="C273" s="11"/>
    </row>
    <row r="274" spans="1:4" x14ac:dyDescent="0.3">
      <c r="A274" s="9"/>
      <c r="B274" s="9"/>
      <c r="C274" s="9"/>
      <c r="D274" s="10"/>
    </row>
    <row r="275" spans="1:4" x14ac:dyDescent="0.3">
      <c r="C275" s="11"/>
    </row>
    <row r="276" spans="1:4" x14ac:dyDescent="0.3">
      <c r="A276" s="9"/>
      <c r="B276" s="9"/>
      <c r="C276" s="9"/>
      <c r="D276" s="10"/>
    </row>
    <row r="277" spans="1:4" x14ac:dyDescent="0.3">
      <c r="C277" s="11"/>
    </row>
    <row r="278" spans="1:4" x14ac:dyDescent="0.3">
      <c r="A278" s="9"/>
      <c r="B278" s="9"/>
      <c r="C278" s="9"/>
      <c r="D278" s="10"/>
    </row>
    <row r="279" spans="1:4" x14ac:dyDescent="0.3">
      <c r="C279" s="11"/>
    </row>
    <row r="280" spans="1:4" x14ac:dyDescent="0.3">
      <c r="A280" s="9"/>
      <c r="B280" s="9"/>
      <c r="C280" s="9"/>
      <c r="D280" s="10"/>
    </row>
    <row r="281" spans="1:4" x14ac:dyDescent="0.3">
      <c r="C281" s="11"/>
    </row>
    <row r="282" spans="1:4" x14ac:dyDescent="0.3">
      <c r="A282" s="9"/>
      <c r="B282" s="9"/>
      <c r="C282" s="9"/>
      <c r="D282" s="10"/>
    </row>
    <row r="283" spans="1:4" x14ac:dyDescent="0.3">
      <c r="C283" s="11"/>
    </row>
    <row r="284" spans="1:4" x14ac:dyDescent="0.3">
      <c r="A284" s="9"/>
      <c r="B284" s="9"/>
      <c r="C284" s="9"/>
      <c r="D284" s="10"/>
    </row>
    <row r="285" spans="1:4" x14ac:dyDescent="0.3">
      <c r="C285" s="11"/>
    </row>
    <row r="286" spans="1:4" x14ac:dyDescent="0.3">
      <c r="A286" s="9"/>
      <c r="B286" s="9"/>
      <c r="C286" s="9"/>
      <c r="D286" s="10"/>
    </row>
    <row r="287" spans="1:4" x14ac:dyDescent="0.3">
      <c r="C287" s="11"/>
    </row>
    <row r="288" spans="1:4" x14ac:dyDescent="0.3">
      <c r="A288" s="9"/>
      <c r="B288" s="9"/>
      <c r="C288" s="9"/>
      <c r="D288" s="10"/>
    </row>
    <row r="289" spans="1:4" x14ac:dyDescent="0.3">
      <c r="C289" s="11"/>
    </row>
    <row r="290" spans="1:4" x14ac:dyDescent="0.3">
      <c r="A290" s="9"/>
      <c r="B290" s="9"/>
      <c r="C290" s="9"/>
      <c r="D290" s="10"/>
    </row>
    <row r="291" spans="1:4" x14ac:dyDescent="0.3">
      <c r="C291" s="11"/>
    </row>
    <row r="292" spans="1:4" x14ac:dyDescent="0.3">
      <c r="A292" s="9"/>
      <c r="B292" s="9"/>
      <c r="C292" s="9"/>
      <c r="D292" s="10"/>
    </row>
    <row r="293" spans="1:4" x14ac:dyDescent="0.3">
      <c r="C293" s="11"/>
    </row>
    <row r="294" spans="1:4" x14ac:dyDescent="0.3">
      <c r="A294" s="9"/>
      <c r="B294" s="9"/>
      <c r="C294" s="9"/>
      <c r="D294" s="10"/>
    </row>
    <row r="295" spans="1:4" x14ac:dyDescent="0.3">
      <c r="C295" s="11"/>
    </row>
    <row r="296" spans="1:4" x14ac:dyDescent="0.3">
      <c r="A296" s="9"/>
      <c r="B296" s="9"/>
      <c r="C296" s="9"/>
      <c r="D296" s="10"/>
    </row>
    <row r="297" spans="1:4" x14ac:dyDescent="0.3">
      <c r="C297" s="11"/>
    </row>
    <row r="298" spans="1:4" x14ac:dyDescent="0.3">
      <c r="A298" s="9"/>
      <c r="B298" s="9"/>
      <c r="C298" s="9"/>
      <c r="D298" s="10"/>
    </row>
    <row r="299" spans="1:4" x14ac:dyDescent="0.3">
      <c r="C299" s="11"/>
    </row>
    <row r="300" spans="1:4" x14ac:dyDescent="0.3">
      <c r="A300" s="9"/>
      <c r="B300" s="9"/>
      <c r="C300" s="9"/>
      <c r="D300" s="10"/>
    </row>
    <row r="301" spans="1:4" x14ac:dyDescent="0.3">
      <c r="C301" s="11"/>
    </row>
    <row r="302" spans="1:4" x14ac:dyDescent="0.3">
      <c r="A302" s="9"/>
      <c r="B302" s="9"/>
      <c r="C302" s="9"/>
      <c r="D302" s="10"/>
    </row>
    <row r="303" spans="1:4" x14ac:dyDescent="0.3">
      <c r="C303" s="11"/>
    </row>
    <row r="304" spans="1:4" x14ac:dyDescent="0.3">
      <c r="A304" s="9"/>
      <c r="B304" s="9"/>
      <c r="C304" s="9"/>
      <c r="D304" s="10"/>
    </row>
    <row r="305" spans="1:4" x14ac:dyDescent="0.3">
      <c r="C305" s="11"/>
    </row>
    <row r="306" spans="1:4" x14ac:dyDescent="0.3">
      <c r="A306" s="9"/>
      <c r="B306" s="9"/>
      <c r="C306" s="9"/>
      <c r="D306" s="10"/>
    </row>
    <row r="307" spans="1:4" x14ac:dyDescent="0.3">
      <c r="C307" s="11"/>
    </row>
    <row r="308" spans="1:4" x14ac:dyDescent="0.3">
      <c r="A308" s="9"/>
      <c r="B308" s="9"/>
      <c r="C308" s="9"/>
      <c r="D308" s="10"/>
    </row>
    <row r="309" spans="1:4" x14ac:dyDescent="0.3">
      <c r="C309" s="11"/>
    </row>
    <row r="310" spans="1:4" x14ac:dyDescent="0.3">
      <c r="A310" s="9"/>
      <c r="B310" s="9"/>
      <c r="C310" s="9"/>
      <c r="D310" s="10"/>
    </row>
    <row r="311" spans="1:4" x14ac:dyDescent="0.3">
      <c r="C311" s="11"/>
    </row>
    <row r="312" spans="1:4" x14ac:dyDescent="0.3">
      <c r="A312" s="9"/>
      <c r="B312" s="9"/>
      <c r="C312" s="9"/>
      <c r="D312" s="10"/>
    </row>
    <row r="313" spans="1:4" x14ac:dyDescent="0.3">
      <c r="C313" s="11"/>
    </row>
    <row r="314" spans="1:4" x14ac:dyDescent="0.3">
      <c r="A314" s="9"/>
      <c r="B314" s="9"/>
      <c r="C314" s="9"/>
      <c r="D314" s="10"/>
    </row>
    <row r="315" spans="1:4" x14ac:dyDescent="0.3">
      <c r="C315" s="11"/>
    </row>
    <row r="316" spans="1:4" x14ac:dyDescent="0.3">
      <c r="A316" s="9"/>
      <c r="B316" s="9"/>
      <c r="C316" s="9"/>
      <c r="D316" s="10"/>
    </row>
    <row r="317" spans="1:4" x14ac:dyDescent="0.3">
      <c r="C317" s="11"/>
    </row>
    <row r="318" spans="1:4" x14ac:dyDescent="0.3">
      <c r="A318" s="9"/>
      <c r="B318" s="9"/>
      <c r="C318" s="9"/>
      <c r="D318" s="10"/>
    </row>
    <row r="319" spans="1:4" x14ac:dyDescent="0.3">
      <c r="C319" s="11"/>
    </row>
    <row r="320" spans="1:4" x14ac:dyDescent="0.3">
      <c r="A320" s="9"/>
      <c r="B320" s="9"/>
      <c r="C320" s="9"/>
      <c r="D320" s="10"/>
    </row>
    <row r="321" spans="1:4" x14ac:dyDescent="0.3">
      <c r="C321" s="11"/>
    </row>
    <row r="322" spans="1:4" x14ac:dyDescent="0.3">
      <c r="A322" s="9"/>
      <c r="B322" s="9"/>
      <c r="C322" s="9"/>
      <c r="D322" s="10"/>
    </row>
    <row r="323" spans="1:4" x14ac:dyDescent="0.3">
      <c r="C323" s="11"/>
    </row>
    <row r="324" spans="1:4" x14ac:dyDescent="0.3">
      <c r="A324" s="9"/>
      <c r="B324" s="9"/>
      <c r="C324" s="9"/>
      <c r="D324" s="10"/>
    </row>
    <row r="325" spans="1:4" x14ac:dyDescent="0.3">
      <c r="C325" s="11"/>
    </row>
    <row r="326" spans="1:4" x14ac:dyDescent="0.3">
      <c r="A326" s="9"/>
      <c r="B326" s="9"/>
      <c r="C326" s="9"/>
      <c r="D326" s="10"/>
    </row>
    <row r="327" spans="1:4" x14ac:dyDescent="0.3">
      <c r="C327" s="11"/>
    </row>
    <row r="328" spans="1:4" x14ac:dyDescent="0.3">
      <c r="A328" s="9"/>
      <c r="B328" s="9"/>
      <c r="C328" s="9"/>
      <c r="D328" s="10"/>
    </row>
    <row r="329" spans="1:4" x14ac:dyDescent="0.3">
      <c r="C329" s="11"/>
    </row>
    <row r="330" spans="1:4" x14ac:dyDescent="0.3">
      <c r="A330" s="9"/>
      <c r="B330" s="9"/>
      <c r="C330" s="9"/>
      <c r="D330" s="10"/>
    </row>
    <row r="331" spans="1:4" x14ac:dyDescent="0.3">
      <c r="C331" s="11"/>
    </row>
    <row r="332" spans="1:4" x14ac:dyDescent="0.3">
      <c r="A332" s="9"/>
      <c r="B332" s="9"/>
      <c r="C332" s="9"/>
      <c r="D332" s="10"/>
    </row>
    <row r="333" spans="1:4" x14ac:dyDescent="0.3">
      <c r="C333" s="11"/>
    </row>
    <row r="334" spans="1:4" x14ac:dyDescent="0.3">
      <c r="A334" s="9"/>
      <c r="B334" s="9"/>
      <c r="C334" s="9"/>
      <c r="D334" s="10"/>
    </row>
    <row r="335" spans="1:4" x14ac:dyDescent="0.3">
      <c r="C335" s="11"/>
    </row>
    <row r="336" spans="1:4" x14ac:dyDescent="0.3">
      <c r="A336" s="9"/>
      <c r="B336" s="9"/>
      <c r="C336" s="9"/>
      <c r="D336" s="10"/>
    </row>
    <row r="337" spans="1:4" x14ac:dyDescent="0.3">
      <c r="C337" s="11"/>
    </row>
    <row r="338" spans="1:4" x14ac:dyDescent="0.3">
      <c r="A338" s="9"/>
      <c r="B338" s="9"/>
      <c r="C338" s="9"/>
      <c r="D338" s="10"/>
    </row>
    <row r="339" spans="1:4" x14ac:dyDescent="0.3">
      <c r="C339" s="11"/>
    </row>
    <row r="340" spans="1:4" x14ac:dyDescent="0.3">
      <c r="A340" s="9"/>
      <c r="B340" s="9"/>
      <c r="C340" s="9"/>
      <c r="D340" s="10"/>
    </row>
    <row r="341" spans="1:4" x14ac:dyDescent="0.3">
      <c r="C341" s="11"/>
    </row>
    <row r="342" spans="1:4" x14ac:dyDescent="0.3">
      <c r="A342" s="9"/>
      <c r="B342" s="9"/>
      <c r="C342" s="9"/>
      <c r="D342" s="10"/>
    </row>
    <row r="343" spans="1:4" x14ac:dyDescent="0.3">
      <c r="C343" s="11"/>
    </row>
    <row r="344" spans="1:4" x14ac:dyDescent="0.3">
      <c r="A344" s="9"/>
      <c r="B344" s="9"/>
      <c r="C344" s="9"/>
      <c r="D344" s="10"/>
    </row>
    <row r="345" spans="1:4" x14ac:dyDescent="0.3">
      <c r="C345" s="11"/>
    </row>
    <row r="346" spans="1:4" x14ac:dyDescent="0.3">
      <c r="A346" s="9"/>
      <c r="B346" s="9"/>
      <c r="C346" s="9"/>
      <c r="D346" s="10"/>
    </row>
    <row r="347" spans="1:4" x14ac:dyDescent="0.3">
      <c r="C347" s="11"/>
    </row>
    <row r="348" spans="1:4" x14ac:dyDescent="0.3">
      <c r="A348" s="9"/>
      <c r="B348" s="9"/>
      <c r="C348" s="9"/>
      <c r="D348" s="10"/>
    </row>
    <row r="349" spans="1:4" x14ac:dyDescent="0.3">
      <c r="C349" s="11"/>
    </row>
    <row r="350" spans="1:4" x14ac:dyDescent="0.3">
      <c r="A350" s="9"/>
      <c r="B350" s="9"/>
      <c r="C350" s="9"/>
      <c r="D350" s="10"/>
    </row>
    <row r="351" spans="1:4" x14ac:dyDescent="0.3">
      <c r="C351" s="11"/>
    </row>
    <row r="352" spans="1:4" x14ac:dyDescent="0.3">
      <c r="A352" s="9"/>
      <c r="B352" s="9"/>
      <c r="C352" s="9"/>
      <c r="D352" s="10"/>
    </row>
    <row r="353" spans="1:4" x14ac:dyDescent="0.3">
      <c r="C353" s="11"/>
    </row>
    <row r="354" spans="1:4" x14ac:dyDescent="0.3">
      <c r="A354" s="9"/>
      <c r="B354" s="9"/>
      <c r="C354" s="9"/>
      <c r="D354" s="10"/>
    </row>
    <row r="355" spans="1:4" x14ac:dyDescent="0.3">
      <c r="C355" s="11"/>
    </row>
    <row r="356" spans="1:4" x14ac:dyDescent="0.3">
      <c r="A356" s="9"/>
      <c r="B356" s="9"/>
      <c r="C356" s="9"/>
      <c r="D356" s="10"/>
    </row>
    <row r="357" spans="1:4" x14ac:dyDescent="0.3">
      <c r="C357" s="11"/>
    </row>
    <row r="358" spans="1:4" x14ac:dyDescent="0.3">
      <c r="A358" s="9"/>
      <c r="B358" s="9"/>
      <c r="C358" s="9"/>
      <c r="D358" s="10"/>
    </row>
    <row r="359" spans="1:4" x14ac:dyDescent="0.3">
      <c r="C359" s="11"/>
    </row>
    <row r="360" spans="1:4" x14ac:dyDescent="0.3">
      <c r="A360" s="9"/>
      <c r="B360" s="9"/>
      <c r="C360" s="9"/>
      <c r="D360" s="10"/>
    </row>
    <row r="361" spans="1:4" x14ac:dyDescent="0.3">
      <c r="C361" s="11"/>
    </row>
    <row r="362" spans="1:4" x14ac:dyDescent="0.3">
      <c r="A362" s="9"/>
      <c r="B362" s="9"/>
      <c r="C362" s="9"/>
      <c r="D362" s="10"/>
    </row>
    <row r="363" spans="1:4" x14ac:dyDescent="0.3">
      <c r="C363" s="11"/>
    </row>
    <row r="364" spans="1:4" x14ac:dyDescent="0.3">
      <c r="A364" s="9"/>
      <c r="B364" s="9"/>
      <c r="C364" s="9"/>
      <c r="D364" s="10"/>
    </row>
    <row r="365" spans="1:4" x14ac:dyDescent="0.3">
      <c r="C365" s="11"/>
    </row>
    <row r="366" spans="1:4" x14ac:dyDescent="0.3">
      <c r="A366" s="9"/>
      <c r="B366" s="9"/>
      <c r="C366" s="9"/>
      <c r="D366" s="10"/>
    </row>
    <row r="367" spans="1:4" x14ac:dyDescent="0.3">
      <c r="C367" s="11"/>
    </row>
    <row r="368" spans="1:4" x14ac:dyDescent="0.3">
      <c r="A368" s="9"/>
      <c r="B368" s="9"/>
      <c r="C368" s="9"/>
      <c r="D368" s="10"/>
    </row>
    <row r="369" spans="1:4" x14ac:dyDescent="0.3">
      <c r="C369" s="11"/>
    </row>
    <row r="370" spans="1:4" x14ac:dyDescent="0.3">
      <c r="A370" s="9"/>
      <c r="B370" s="9"/>
      <c r="C370" s="9"/>
      <c r="D370" s="10"/>
    </row>
    <row r="371" spans="1:4" x14ac:dyDescent="0.3">
      <c r="C371" s="1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3AE7D-26D9-4FDA-8B14-39235E04D12C}">
  <dimension ref="A1:I912"/>
  <sheetViews>
    <sheetView topLeftCell="A885" workbookViewId="0">
      <selection activeCell="F2" sqref="F2"/>
    </sheetView>
  </sheetViews>
  <sheetFormatPr defaultRowHeight="14.4" x14ac:dyDescent="0.3"/>
  <cols>
    <col min="1" max="1" width="10.88671875" bestFit="1" customWidth="1"/>
    <col min="2" max="2" width="9.5546875" bestFit="1" customWidth="1"/>
    <col min="3" max="3" width="28.6640625" bestFit="1" customWidth="1"/>
    <col min="4" max="4" width="11.88671875" bestFit="1" customWidth="1"/>
    <col min="5" max="5" width="6.5546875" bestFit="1" customWidth="1"/>
    <col min="6" max="6" width="12.77734375" bestFit="1" customWidth="1"/>
    <col min="7" max="7" width="12.88671875" bestFit="1" customWidth="1"/>
    <col min="8" max="8" width="9.5546875" bestFit="1" customWidth="1"/>
    <col min="9" max="9" width="7.5546875" bestFit="1" customWidth="1"/>
  </cols>
  <sheetData>
    <row r="1" spans="1:9" ht="15.6" x14ac:dyDescent="0.3">
      <c r="A1" s="16" t="s">
        <v>0</v>
      </c>
      <c r="B1" s="16" t="s">
        <v>1</v>
      </c>
      <c r="C1" s="16" t="s">
        <v>2</v>
      </c>
      <c r="D1" s="16" t="s">
        <v>3</v>
      </c>
      <c r="E1" s="16" t="s">
        <v>4</v>
      </c>
      <c r="F1" s="16" t="s">
        <v>5</v>
      </c>
      <c r="G1" s="16" t="s">
        <v>34</v>
      </c>
      <c r="H1" s="16" t="s">
        <v>6</v>
      </c>
      <c r="I1" s="16" t="s">
        <v>33</v>
      </c>
    </row>
    <row r="2" spans="1:9" x14ac:dyDescent="0.3">
      <c r="A2" s="13" t="s">
        <v>8</v>
      </c>
      <c r="B2" s="13" t="s">
        <v>9</v>
      </c>
      <c r="C2" s="13" t="s">
        <v>10</v>
      </c>
      <c r="D2" s="13" t="s">
        <v>11</v>
      </c>
      <c r="E2">
        <v>4</v>
      </c>
      <c r="F2" s="15">
        <v>1340</v>
      </c>
      <c r="G2" s="14">
        <v>144</v>
      </c>
      <c r="H2" s="14">
        <v>56.952380952380963</v>
      </c>
      <c r="I2" s="15">
        <v>335</v>
      </c>
    </row>
    <row r="3" spans="1:9" x14ac:dyDescent="0.3">
      <c r="A3" s="13" t="s">
        <v>8</v>
      </c>
      <c r="B3" s="13" t="s">
        <v>9</v>
      </c>
      <c r="C3" s="13" t="s">
        <v>12</v>
      </c>
      <c r="D3" s="13" t="s">
        <v>11</v>
      </c>
      <c r="E3">
        <v>8</v>
      </c>
      <c r="F3" s="15">
        <v>4800</v>
      </c>
      <c r="G3" s="14">
        <v>1208</v>
      </c>
      <c r="H3" s="14">
        <v>171.04761904761926</v>
      </c>
      <c r="I3" s="15">
        <v>600</v>
      </c>
    </row>
    <row r="4" spans="1:9" x14ac:dyDescent="0.3">
      <c r="A4" s="13" t="s">
        <v>8</v>
      </c>
      <c r="B4" s="13" t="s">
        <v>9</v>
      </c>
      <c r="C4" s="13" t="s">
        <v>13</v>
      </c>
      <c r="D4" s="13" t="s">
        <v>14</v>
      </c>
      <c r="E4">
        <v>56</v>
      </c>
      <c r="F4" s="15">
        <v>21000</v>
      </c>
      <c r="G4" s="14">
        <v>8368.7999999999993</v>
      </c>
      <c r="H4" s="14">
        <v>601.48571428571449</v>
      </c>
      <c r="I4" s="15">
        <v>375</v>
      </c>
    </row>
    <row r="5" spans="1:9" x14ac:dyDescent="0.3">
      <c r="A5" s="13" t="s">
        <v>8</v>
      </c>
      <c r="B5" s="13" t="s">
        <v>9</v>
      </c>
      <c r="C5" s="13" t="s">
        <v>16</v>
      </c>
      <c r="D5" s="13" t="s">
        <v>17</v>
      </c>
      <c r="E5">
        <v>4</v>
      </c>
      <c r="F5" s="15">
        <v>1196</v>
      </c>
      <c r="G5" s="14">
        <v>300</v>
      </c>
      <c r="H5" s="14">
        <v>96.000000000000114</v>
      </c>
      <c r="I5" s="15">
        <v>299</v>
      </c>
    </row>
    <row r="6" spans="1:9" x14ac:dyDescent="0.3">
      <c r="A6" s="13" t="s">
        <v>8</v>
      </c>
      <c r="B6" s="13" t="s">
        <v>9</v>
      </c>
      <c r="C6" s="13" t="s">
        <v>18</v>
      </c>
      <c r="D6" s="13" t="s">
        <v>17</v>
      </c>
      <c r="E6">
        <v>24</v>
      </c>
      <c r="F6" s="15">
        <v>13800</v>
      </c>
      <c r="G6" s="14">
        <v>3113.7999999999993</v>
      </c>
      <c r="H6" s="14">
        <v>1144.9500000000007</v>
      </c>
      <c r="I6" s="15">
        <v>575</v>
      </c>
    </row>
    <row r="7" spans="1:9" x14ac:dyDescent="0.3">
      <c r="A7" s="13" t="s">
        <v>8</v>
      </c>
      <c r="B7" s="13" t="s">
        <v>9</v>
      </c>
      <c r="C7" s="13" t="s">
        <v>19</v>
      </c>
      <c r="D7" s="13" t="s">
        <v>17</v>
      </c>
      <c r="E7">
        <v>48</v>
      </c>
      <c r="F7" s="15">
        <v>55200</v>
      </c>
      <c r="G7" s="14">
        <v>18183.599999999999</v>
      </c>
      <c r="H7" s="14">
        <v>3966.0428571428638</v>
      </c>
      <c r="I7" s="15">
        <v>1150</v>
      </c>
    </row>
    <row r="8" spans="1:9" x14ac:dyDescent="0.3">
      <c r="A8" s="13" t="s">
        <v>8</v>
      </c>
      <c r="B8" s="13" t="s">
        <v>9</v>
      </c>
      <c r="C8" s="13" t="s">
        <v>20</v>
      </c>
      <c r="D8" s="13" t="s">
        <v>14</v>
      </c>
      <c r="E8">
        <v>4</v>
      </c>
      <c r="F8" s="15">
        <v>3000</v>
      </c>
      <c r="G8" s="14">
        <v>3000</v>
      </c>
      <c r="H8" s="14">
        <v>0</v>
      </c>
      <c r="I8" s="15">
        <v>750</v>
      </c>
    </row>
    <row r="9" spans="1:9" x14ac:dyDescent="0.3">
      <c r="A9" s="13" t="s">
        <v>8</v>
      </c>
      <c r="B9" s="13" t="s">
        <v>9</v>
      </c>
      <c r="C9" s="13" t="s">
        <v>21</v>
      </c>
      <c r="D9" s="13" t="s">
        <v>11</v>
      </c>
      <c r="E9">
        <v>100</v>
      </c>
      <c r="F9" s="15">
        <v>120000</v>
      </c>
      <c r="G9" s="14">
        <v>42061.8</v>
      </c>
      <c r="H9" s="14">
        <v>3711.3428571428667</v>
      </c>
      <c r="I9" s="15">
        <v>1200</v>
      </c>
    </row>
    <row r="10" spans="1:9" x14ac:dyDescent="0.3">
      <c r="A10" s="13" t="s">
        <v>8</v>
      </c>
      <c r="B10" s="13" t="s">
        <v>9</v>
      </c>
      <c r="C10" s="13" t="s">
        <v>22</v>
      </c>
      <c r="D10" s="13" t="s">
        <v>23</v>
      </c>
      <c r="E10">
        <v>12</v>
      </c>
      <c r="F10" s="15">
        <v>2388</v>
      </c>
      <c r="G10" s="14">
        <v>1200</v>
      </c>
      <c r="H10" s="14">
        <v>56.571428571428669</v>
      </c>
      <c r="I10" s="15">
        <v>199</v>
      </c>
    </row>
    <row r="11" spans="1:9" x14ac:dyDescent="0.3">
      <c r="A11" s="13" t="s">
        <v>8</v>
      </c>
      <c r="B11" s="13" t="s">
        <v>9</v>
      </c>
      <c r="C11" s="13" t="s">
        <v>24</v>
      </c>
      <c r="D11" s="13" t="s">
        <v>23</v>
      </c>
      <c r="E11">
        <v>104</v>
      </c>
      <c r="F11" s="15">
        <v>46800</v>
      </c>
      <c r="G11" s="14">
        <v>21665.599999999999</v>
      </c>
      <c r="H11" s="14">
        <v>1196.8761904761923</v>
      </c>
      <c r="I11" s="15">
        <v>450</v>
      </c>
    </row>
    <row r="12" spans="1:9" x14ac:dyDescent="0.3">
      <c r="A12" s="13" t="s">
        <v>8</v>
      </c>
      <c r="B12" s="13" t="s">
        <v>9</v>
      </c>
      <c r="C12" s="13" t="s">
        <v>25</v>
      </c>
      <c r="D12" s="13" t="s">
        <v>23</v>
      </c>
      <c r="E12">
        <v>4</v>
      </c>
      <c r="F12" s="15">
        <v>3600</v>
      </c>
      <c r="G12" s="14">
        <v>1804</v>
      </c>
      <c r="H12" s="14">
        <v>273.9661016949151</v>
      </c>
      <c r="I12" s="15">
        <v>900</v>
      </c>
    </row>
    <row r="13" spans="1:9" x14ac:dyDescent="0.3">
      <c r="A13" s="13" t="s">
        <v>8</v>
      </c>
      <c r="B13" s="13" t="s">
        <v>9</v>
      </c>
      <c r="C13" s="13" t="s">
        <v>10</v>
      </c>
      <c r="D13" s="13" t="s">
        <v>11</v>
      </c>
      <c r="E13">
        <v>16</v>
      </c>
      <c r="F13" s="15">
        <v>5360</v>
      </c>
      <c r="G13" s="14">
        <v>576</v>
      </c>
      <c r="H13" s="14">
        <v>227.80952380952385</v>
      </c>
      <c r="I13" s="15">
        <v>335</v>
      </c>
    </row>
    <row r="14" spans="1:9" x14ac:dyDescent="0.3">
      <c r="A14" s="13" t="s">
        <v>8</v>
      </c>
      <c r="B14" s="13" t="s">
        <v>9</v>
      </c>
      <c r="C14" s="13" t="s">
        <v>12</v>
      </c>
      <c r="D14" s="13" t="s">
        <v>11</v>
      </c>
      <c r="E14">
        <v>12</v>
      </c>
      <c r="F14" s="15">
        <v>7200</v>
      </c>
      <c r="G14" s="14">
        <v>1812</v>
      </c>
      <c r="H14" s="14">
        <v>256.57142857142844</v>
      </c>
      <c r="I14" s="15">
        <v>600</v>
      </c>
    </row>
    <row r="15" spans="1:9" x14ac:dyDescent="0.3">
      <c r="A15" s="13" t="s">
        <v>8</v>
      </c>
      <c r="B15" s="13" t="s">
        <v>9</v>
      </c>
      <c r="C15" s="13" t="s">
        <v>13</v>
      </c>
      <c r="D15" s="13" t="s">
        <v>14</v>
      </c>
      <c r="E15">
        <v>32</v>
      </c>
      <c r="F15" s="15">
        <v>12000</v>
      </c>
      <c r="G15" s="14">
        <v>4749.6000000000004</v>
      </c>
      <c r="H15" s="14">
        <v>345.25714285714275</v>
      </c>
      <c r="I15" s="15">
        <v>375</v>
      </c>
    </row>
    <row r="16" spans="1:9" x14ac:dyDescent="0.3">
      <c r="A16" s="13" t="s">
        <v>8</v>
      </c>
      <c r="B16" s="13" t="s">
        <v>9</v>
      </c>
      <c r="C16" s="13" t="s">
        <v>15</v>
      </c>
      <c r="D16" s="13" t="s">
        <v>14</v>
      </c>
      <c r="E16">
        <v>4</v>
      </c>
      <c r="F16" s="15">
        <v>660</v>
      </c>
      <c r="G16" s="14">
        <v>304</v>
      </c>
      <c r="H16" s="14">
        <v>16.952380952380963</v>
      </c>
      <c r="I16" s="15">
        <v>165</v>
      </c>
    </row>
    <row r="17" spans="1:9" x14ac:dyDescent="0.3">
      <c r="A17" s="13" t="s">
        <v>8</v>
      </c>
      <c r="B17" s="13" t="s">
        <v>9</v>
      </c>
      <c r="C17" s="13" t="s">
        <v>18</v>
      </c>
      <c r="D17" s="13" t="s">
        <v>17</v>
      </c>
      <c r="E17">
        <v>24</v>
      </c>
      <c r="F17" s="15">
        <v>13800</v>
      </c>
      <c r="G17" s="14">
        <v>3024</v>
      </c>
      <c r="H17" s="14">
        <v>1154.5714285714294</v>
      </c>
      <c r="I17" s="15">
        <v>575</v>
      </c>
    </row>
    <row r="18" spans="1:9" x14ac:dyDescent="0.3">
      <c r="A18" s="13" t="s">
        <v>8</v>
      </c>
      <c r="B18" s="13" t="s">
        <v>9</v>
      </c>
      <c r="C18" s="13" t="s">
        <v>19</v>
      </c>
      <c r="D18" s="13" t="s">
        <v>17</v>
      </c>
      <c r="E18">
        <v>32</v>
      </c>
      <c r="F18" s="15">
        <v>36800</v>
      </c>
      <c r="G18" s="14">
        <v>9968</v>
      </c>
      <c r="H18" s="14">
        <v>2874.8571428571449</v>
      </c>
      <c r="I18" s="15">
        <v>1150</v>
      </c>
    </row>
    <row r="19" spans="1:9" x14ac:dyDescent="0.3">
      <c r="A19" s="13" t="s">
        <v>8</v>
      </c>
      <c r="B19" s="13" t="s">
        <v>9</v>
      </c>
      <c r="C19" s="13" t="s">
        <v>21</v>
      </c>
      <c r="D19" s="13" t="s">
        <v>11</v>
      </c>
      <c r="E19">
        <v>84</v>
      </c>
      <c r="F19" s="15">
        <v>100800</v>
      </c>
      <c r="G19" s="14">
        <v>33049.800000000003</v>
      </c>
      <c r="H19" s="14">
        <v>3226.2000000000044</v>
      </c>
      <c r="I19" s="15">
        <v>1200</v>
      </c>
    </row>
    <row r="20" spans="1:9" x14ac:dyDescent="0.3">
      <c r="A20" s="13" t="s">
        <v>8</v>
      </c>
      <c r="B20" s="13" t="s">
        <v>9</v>
      </c>
      <c r="C20" s="13" t="s">
        <v>22</v>
      </c>
      <c r="D20" s="13" t="s">
        <v>23</v>
      </c>
      <c r="E20">
        <v>16</v>
      </c>
      <c r="F20" s="15">
        <v>3184</v>
      </c>
      <c r="G20" s="14">
        <v>1600</v>
      </c>
      <c r="H20" s="14">
        <v>75.428571428571558</v>
      </c>
      <c r="I20" s="15">
        <v>199</v>
      </c>
    </row>
    <row r="21" spans="1:9" x14ac:dyDescent="0.3">
      <c r="A21" s="13" t="s">
        <v>8</v>
      </c>
      <c r="B21" s="13" t="s">
        <v>9</v>
      </c>
      <c r="C21" s="13" t="s">
        <v>24</v>
      </c>
      <c r="D21" s="13" t="s">
        <v>23</v>
      </c>
      <c r="E21">
        <v>112</v>
      </c>
      <c r="F21" s="15">
        <v>50400</v>
      </c>
      <c r="G21" s="14">
        <v>25760</v>
      </c>
      <c r="H21" s="14">
        <v>1173.3333333333358</v>
      </c>
      <c r="I21" s="15">
        <v>450</v>
      </c>
    </row>
    <row r="22" spans="1:9" x14ac:dyDescent="0.3">
      <c r="A22" s="13" t="s">
        <v>8</v>
      </c>
      <c r="B22" s="13" t="s">
        <v>9</v>
      </c>
      <c r="C22" s="13" t="s">
        <v>26</v>
      </c>
      <c r="D22" s="13" t="s">
        <v>27</v>
      </c>
      <c r="E22">
        <v>4</v>
      </c>
      <c r="F22" s="15">
        <v>9400</v>
      </c>
      <c r="G22" s="14">
        <v>2600</v>
      </c>
      <c r="H22" s="14">
        <v>728.57142857142935</v>
      </c>
      <c r="I22" s="15">
        <v>2350</v>
      </c>
    </row>
    <row r="23" spans="1:9" x14ac:dyDescent="0.3">
      <c r="A23" s="13" t="s">
        <v>8</v>
      </c>
      <c r="B23" s="13" t="s">
        <v>9</v>
      </c>
      <c r="C23" s="13" t="s">
        <v>12</v>
      </c>
      <c r="D23" s="13" t="s">
        <v>11</v>
      </c>
      <c r="E23">
        <v>4</v>
      </c>
      <c r="F23" s="15">
        <v>2400</v>
      </c>
      <c r="G23" s="14">
        <v>604</v>
      </c>
      <c r="H23" s="14">
        <v>85.523809523809632</v>
      </c>
      <c r="I23" s="15">
        <v>600</v>
      </c>
    </row>
    <row r="24" spans="1:9" x14ac:dyDescent="0.3">
      <c r="A24" s="13" t="s">
        <v>8</v>
      </c>
      <c r="B24" s="13" t="s">
        <v>9</v>
      </c>
      <c r="C24" s="13" t="s">
        <v>13</v>
      </c>
      <c r="D24" s="13" t="s">
        <v>14</v>
      </c>
      <c r="E24">
        <v>32</v>
      </c>
      <c r="F24" s="15">
        <v>12000</v>
      </c>
      <c r="G24" s="14">
        <v>7788</v>
      </c>
      <c r="H24" s="14">
        <v>200.5714285714289</v>
      </c>
      <c r="I24" s="15">
        <v>375</v>
      </c>
    </row>
    <row r="25" spans="1:9" x14ac:dyDescent="0.3">
      <c r="A25" s="13" t="s">
        <v>8</v>
      </c>
      <c r="B25" s="13" t="s">
        <v>9</v>
      </c>
      <c r="C25" s="13" t="s">
        <v>15</v>
      </c>
      <c r="D25" s="13" t="s">
        <v>14</v>
      </c>
      <c r="E25">
        <v>4</v>
      </c>
      <c r="F25" s="15">
        <v>660</v>
      </c>
      <c r="G25" s="14">
        <v>304</v>
      </c>
      <c r="H25" s="14">
        <v>16.952380952380963</v>
      </c>
      <c r="I25" s="15">
        <v>165</v>
      </c>
    </row>
    <row r="26" spans="1:9" x14ac:dyDescent="0.3">
      <c r="A26" s="13" t="s">
        <v>8</v>
      </c>
      <c r="B26" s="13" t="s">
        <v>9</v>
      </c>
      <c r="C26" s="13" t="s">
        <v>16</v>
      </c>
      <c r="D26" s="13" t="s">
        <v>17</v>
      </c>
      <c r="E26">
        <v>4</v>
      </c>
      <c r="F26" s="15">
        <v>1196</v>
      </c>
      <c r="G26" s="14">
        <v>300</v>
      </c>
      <c r="H26" s="14">
        <v>96.000000000000114</v>
      </c>
      <c r="I26" s="15">
        <v>299</v>
      </c>
    </row>
    <row r="27" spans="1:9" x14ac:dyDescent="0.3">
      <c r="A27" s="13" t="s">
        <v>8</v>
      </c>
      <c r="B27" s="13" t="s">
        <v>9</v>
      </c>
      <c r="C27" s="13" t="s">
        <v>18</v>
      </c>
      <c r="D27" s="13" t="s">
        <v>17</v>
      </c>
      <c r="E27">
        <v>20</v>
      </c>
      <c r="F27" s="15">
        <v>11500</v>
      </c>
      <c r="G27" s="14">
        <v>2609.7999999999993</v>
      </c>
      <c r="H27" s="14">
        <v>952.52142857142917</v>
      </c>
      <c r="I27" s="15">
        <v>575</v>
      </c>
    </row>
    <row r="28" spans="1:9" x14ac:dyDescent="0.3">
      <c r="A28" s="13" t="s">
        <v>8</v>
      </c>
      <c r="B28" s="13" t="s">
        <v>9</v>
      </c>
      <c r="C28" s="13" t="s">
        <v>19</v>
      </c>
      <c r="D28" s="13" t="s">
        <v>17</v>
      </c>
      <c r="E28">
        <v>84</v>
      </c>
      <c r="F28" s="15">
        <v>96600</v>
      </c>
      <c r="G28" s="14">
        <v>31278.800000000003</v>
      </c>
      <c r="H28" s="14">
        <v>6998.7000000000044</v>
      </c>
      <c r="I28" s="15">
        <v>1150</v>
      </c>
    </row>
    <row r="29" spans="1:9" x14ac:dyDescent="0.3">
      <c r="A29" s="13" t="s">
        <v>8</v>
      </c>
      <c r="B29" s="13" t="s">
        <v>9</v>
      </c>
      <c r="C29" s="13" t="s">
        <v>21</v>
      </c>
      <c r="D29" s="13" t="s">
        <v>11</v>
      </c>
      <c r="E29">
        <v>68</v>
      </c>
      <c r="F29" s="15">
        <v>81600</v>
      </c>
      <c r="G29" s="14">
        <v>24377.4</v>
      </c>
      <c r="H29" s="14">
        <v>2724.8857142857159</v>
      </c>
      <c r="I29" s="15">
        <v>1200</v>
      </c>
    </row>
    <row r="30" spans="1:9" x14ac:dyDescent="0.3">
      <c r="A30" s="13" t="s">
        <v>8</v>
      </c>
      <c r="B30" s="13" t="s">
        <v>9</v>
      </c>
      <c r="C30" s="13" t="s">
        <v>22</v>
      </c>
      <c r="D30" s="13" t="s">
        <v>23</v>
      </c>
      <c r="E30">
        <v>4</v>
      </c>
      <c r="F30" s="15">
        <v>796</v>
      </c>
      <c r="G30" s="14">
        <v>400</v>
      </c>
      <c r="H30" s="14">
        <v>18.85714285714289</v>
      </c>
      <c r="I30" s="15">
        <v>199</v>
      </c>
    </row>
    <row r="31" spans="1:9" x14ac:dyDescent="0.3">
      <c r="A31" s="13" t="s">
        <v>8</v>
      </c>
      <c r="B31" s="13" t="s">
        <v>9</v>
      </c>
      <c r="C31" s="13" t="s">
        <v>24</v>
      </c>
      <c r="D31" s="13" t="s">
        <v>23</v>
      </c>
      <c r="E31">
        <v>112</v>
      </c>
      <c r="F31" s="15">
        <v>50400</v>
      </c>
      <c r="G31" s="14">
        <v>25848</v>
      </c>
      <c r="H31" s="14">
        <v>1169.1428571428587</v>
      </c>
      <c r="I31" s="15">
        <v>450</v>
      </c>
    </row>
    <row r="32" spans="1:9" x14ac:dyDescent="0.3">
      <c r="A32" s="13" t="s">
        <v>8</v>
      </c>
      <c r="B32" s="13" t="s">
        <v>9</v>
      </c>
      <c r="C32" s="13" t="s">
        <v>25</v>
      </c>
      <c r="D32" s="13" t="s">
        <v>23</v>
      </c>
      <c r="E32">
        <v>4</v>
      </c>
      <c r="F32" s="15">
        <v>3600</v>
      </c>
      <c r="G32" s="14">
        <v>1604</v>
      </c>
      <c r="H32" s="14">
        <v>304.47457627118638</v>
      </c>
      <c r="I32" s="15">
        <v>900</v>
      </c>
    </row>
    <row r="33" spans="1:9" x14ac:dyDescent="0.3">
      <c r="A33" s="13" t="s">
        <v>8</v>
      </c>
      <c r="B33" s="13" t="s">
        <v>9</v>
      </c>
      <c r="C33" s="13" t="s">
        <v>12</v>
      </c>
      <c r="D33" s="13" t="s">
        <v>11</v>
      </c>
      <c r="E33">
        <v>8</v>
      </c>
      <c r="F33" s="15">
        <v>4800</v>
      </c>
      <c r="G33" s="14">
        <v>1208</v>
      </c>
      <c r="H33" s="14">
        <v>171.04761904761926</v>
      </c>
      <c r="I33" s="15">
        <v>600</v>
      </c>
    </row>
    <row r="34" spans="1:9" x14ac:dyDescent="0.3">
      <c r="A34" s="13" t="s">
        <v>8</v>
      </c>
      <c r="B34" s="13" t="s">
        <v>9</v>
      </c>
      <c r="C34" s="13" t="s">
        <v>13</v>
      </c>
      <c r="D34" s="13" t="s">
        <v>14</v>
      </c>
      <c r="E34">
        <v>40</v>
      </c>
      <c r="F34" s="15">
        <v>15000</v>
      </c>
      <c r="G34" s="14">
        <v>7836</v>
      </c>
      <c r="H34" s="14">
        <v>341.14285714285779</v>
      </c>
      <c r="I34" s="15">
        <v>375</v>
      </c>
    </row>
    <row r="35" spans="1:9" x14ac:dyDescent="0.3">
      <c r="A35" s="13" t="s">
        <v>8</v>
      </c>
      <c r="B35" s="13" t="s">
        <v>9</v>
      </c>
      <c r="C35" s="13" t="s">
        <v>15</v>
      </c>
      <c r="D35" s="13" t="s">
        <v>14</v>
      </c>
      <c r="E35">
        <v>4</v>
      </c>
      <c r="F35" s="15">
        <v>660</v>
      </c>
      <c r="G35" s="14">
        <v>304</v>
      </c>
      <c r="H35" s="14">
        <v>16.952380952380963</v>
      </c>
      <c r="I35" s="15">
        <v>165</v>
      </c>
    </row>
    <row r="36" spans="1:9" x14ac:dyDescent="0.3">
      <c r="A36" s="13" t="s">
        <v>8</v>
      </c>
      <c r="B36" s="13" t="s">
        <v>9</v>
      </c>
      <c r="C36" s="13" t="s">
        <v>16</v>
      </c>
      <c r="D36" s="13" t="s">
        <v>17</v>
      </c>
      <c r="E36">
        <v>4</v>
      </c>
      <c r="F36" s="15">
        <v>1196</v>
      </c>
      <c r="G36" s="14">
        <v>300</v>
      </c>
      <c r="H36" s="14">
        <v>96.000000000000114</v>
      </c>
      <c r="I36" s="15">
        <v>299</v>
      </c>
    </row>
    <row r="37" spans="1:9" x14ac:dyDescent="0.3">
      <c r="A37" s="13" t="s">
        <v>8</v>
      </c>
      <c r="B37" s="13" t="s">
        <v>9</v>
      </c>
      <c r="C37" s="13" t="s">
        <v>18</v>
      </c>
      <c r="D37" s="13" t="s">
        <v>17</v>
      </c>
      <c r="E37">
        <v>20</v>
      </c>
      <c r="F37" s="15">
        <v>11500</v>
      </c>
      <c r="G37" s="14">
        <v>2520</v>
      </c>
      <c r="H37" s="14">
        <v>962.14285714285779</v>
      </c>
      <c r="I37" s="15">
        <v>575</v>
      </c>
    </row>
    <row r="38" spans="1:9" x14ac:dyDescent="0.3">
      <c r="A38" s="13" t="s">
        <v>8</v>
      </c>
      <c r="B38" s="13" t="s">
        <v>9</v>
      </c>
      <c r="C38" s="13" t="s">
        <v>19</v>
      </c>
      <c r="D38" s="13" t="s">
        <v>17</v>
      </c>
      <c r="E38">
        <v>100</v>
      </c>
      <c r="F38" s="15">
        <v>115000</v>
      </c>
      <c r="G38" s="14">
        <v>38455.800000000003</v>
      </c>
      <c r="H38" s="14">
        <v>8201.164285714287</v>
      </c>
      <c r="I38" s="15">
        <v>1150</v>
      </c>
    </row>
    <row r="39" spans="1:9" x14ac:dyDescent="0.3">
      <c r="A39" s="13" t="s">
        <v>8</v>
      </c>
      <c r="B39" s="13" t="s">
        <v>9</v>
      </c>
      <c r="C39" s="13" t="s">
        <v>21</v>
      </c>
      <c r="D39" s="13" t="s">
        <v>11</v>
      </c>
      <c r="E39">
        <v>56</v>
      </c>
      <c r="F39" s="15">
        <v>67200</v>
      </c>
      <c r="G39" s="14">
        <v>23391.599999999999</v>
      </c>
      <c r="H39" s="14">
        <v>2086.1142857142841</v>
      </c>
      <c r="I39" s="15">
        <v>1200</v>
      </c>
    </row>
    <row r="40" spans="1:9" x14ac:dyDescent="0.3">
      <c r="A40" s="13" t="s">
        <v>8</v>
      </c>
      <c r="B40" s="13" t="s">
        <v>9</v>
      </c>
      <c r="C40" s="13" t="s">
        <v>22</v>
      </c>
      <c r="D40" s="13" t="s">
        <v>23</v>
      </c>
      <c r="E40">
        <v>8</v>
      </c>
      <c r="F40" s="15">
        <v>1592</v>
      </c>
      <c r="G40" s="14">
        <v>800</v>
      </c>
      <c r="H40" s="14">
        <v>37.714285714285779</v>
      </c>
      <c r="I40" s="15">
        <v>199</v>
      </c>
    </row>
    <row r="41" spans="1:9" x14ac:dyDescent="0.3">
      <c r="A41" s="13" t="s">
        <v>8</v>
      </c>
      <c r="B41" s="13" t="s">
        <v>9</v>
      </c>
      <c r="C41" s="13" t="s">
        <v>24</v>
      </c>
      <c r="D41" s="13" t="s">
        <v>23</v>
      </c>
      <c r="E41">
        <v>136</v>
      </c>
      <c r="F41" s="15">
        <v>61200</v>
      </c>
      <c r="G41" s="14">
        <v>31412</v>
      </c>
      <c r="H41" s="14">
        <v>1418.4761904761908</v>
      </c>
      <c r="I41" s="15">
        <v>450</v>
      </c>
    </row>
    <row r="42" spans="1:9" x14ac:dyDescent="0.3">
      <c r="A42" s="13" t="s">
        <v>8</v>
      </c>
      <c r="B42" s="13" t="s">
        <v>9</v>
      </c>
      <c r="C42" s="13" t="s">
        <v>25</v>
      </c>
      <c r="D42" s="13" t="s">
        <v>23</v>
      </c>
      <c r="E42">
        <v>4</v>
      </c>
      <c r="F42" s="15">
        <v>3600</v>
      </c>
      <c r="G42" s="14">
        <v>1604</v>
      </c>
      <c r="H42" s="14">
        <v>304.47457627118638</v>
      </c>
      <c r="I42" s="15">
        <v>900</v>
      </c>
    </row>
    <row r="43" spans="1:9" x14ac:dyDescent="0.3">
      <c r="A43" s="13" t="s">
        <v>8</v>
      </c>
      <c r="B43" s="13" t="s">
        <v>9</v>
      </c>
      <c r="C43" s="13" t="s">
        <v>12</v>
      </c>
      <c r="D43" s="13" t="s">
        <v>11</v>
      </c>
      <c r="E43">
        <v>12</v>
      </c>
      <c r="F43" s="15">
        <v>7200</v>
      </c>
      <c r="G43" s="14">
        <v>1812</v>
      </c>
      <c r="H43" s="14">
        <v>256.57142857142844</v>
      </c>
      <c r="I43" s="15">
        <v>600</v>
      </c>
    </row>
    <row r="44" spans="1:9" x14ac:dyDescent="0.3">
      <c r="A44" s="13" t="s">
        <v>8</v>
      </c>
      <c r="B44" s="13" t="s">
        <v>9</v>
      </c>
      <c r="C44" s="13" t="s">
        <v>13</v>
      </c>
      <c r="D44" s="13" t="s">
        <v>14</v>
      </c>
      <c r="E44">
        <v>48</v>
      </c>
      <c r="F44" s="15">
        <v>18000</v>
      </c>
      <c r="G44" s="14">
        <v>10199.200000000001</v>
      </c>
      <c r="H44" s="14">
        <v>371.46666666666715</v>
      </c>
      <c r="I44" s="15">
        <v>375</v>
      </c>
    </row>
    <row r="45" spans="1:9" x14ac:dyDescent="0.3">
      <c r="A45" s="13" t="s">
        <v>8</v>
      </c>
      <c r="B45" s="13" t="s">
        <v>9</v>
      </c>
      <c r="C45" s="13" t="s">
        <v>18</v>
      </c>
      <c r="D45" s="13" t="s">
        <v>17</v>
      </c>
      <c r="E45">
        <v>4</v>
      </c>
      <c r="F45" s="15">
        <v>2300</v>
      </c>
      <c r="G45" s="14">
        <v>504</v>
      </c>
      <c r="H45" s="14">
        <v>192.42857142857156</v>
      </c>
      <c r="I45" s="15">
        <v>575</v>
      </c>
    </row>
    <row r="46" spans="1:9" x14ac:dyDescent="0.3">
      <c r="A46" s="13" t="s">
        <v>8</v>
      </c>
      <c r="B46" s="13" t="s">
        <v>9</v>
      </c>
      <c r="C46" s="13" t="s">
        <v>19</v>
      </c>
      <c r="D46" s="13" t="s">
        <v>17</v>
      </c>
      <c r="E46">
        <v>56</v>
      </c>
      <c r="F46" s="15">
        <v>64400</v>
      </c>
      <c r="G46" s="14">
        <v>19656</v>
      </c>
      <c r="H46" s="14">
        <v>4794.0000000000073</v>
      </c>
      <c r="I46" s="15">
        <v>1150</v>
      </c>
    </row>
    <row r="47" spans="1:9" x14ac:dyDescent="0.3">
      <c r="A47" s="13" t="s">
        <v>8</v>
      </c>
      <c r="B47" s="13" t="s">
        <v>9</v>
      </c>
      <c r="C47" s="13" t="s">
        <v>20</v>
      </c>
      <c r="D47" s="13" t="s">
        <v>14</v>
      </c>
      <c r="E47">
        <v>8</v>
      </c>
      <c r="F47" s="15">
        <v>6000</v>
      </c>
      <c r="G47" s="14">
        <v>2808</v>
      </c>
      <c r="H47" s="14">
        <v>152</v>
      </c>
      <c r="I47" s="15">
        <v>750</v>
      </c>
    </row>
    <row r="48" spans="1:9" x14ac:dyDescent="0.3">
      <c r="A48" s="13" t="s">
        <v>8</v>
      </c>
      <c r="B48" s="13" t="s">
        <v>9</v>
      </c>
      <c r="C48" s="13" t="s">
        <v>21</v>
      </c>
      <c r="D48" s="13" t="s">
        <v>11</v>
      </c>
      <c r="E48">
        <v>76</v>
      </c>
      <c r="F48" s="15">
        <v>91200</v>
      </c>
      <c r="G48" s="14">
        <v>27015.599999999999</v>
      </c>
      <c r="H48" s="14">
        <v>3056.4000000000015</v>
      </c>
      <c r="I48" s="15">
        <v>1200</v>
      </c>
    </row>
    <row r="49" spans="1:9" x14ac:dyDescent="0.3">
      <c r="A49" s="13" t="s">
        <v>8</v>
      </c>
      <c r="B49" s="13" t="s">
        <v>9</v>
      </c>
      <c r="C49" s="13" t="s">
        <v>24</v>
      </c>
      <c r="D49" s="13" t="s">
        <v>23</v>
      </c>
      <c r="E49">
        <v>116</v>
      </c>
      <c r="F49" s="15">
        <v>52200</v>
      </c>
      <c r="G49" s="14">
        <v>26680</v>
      </c>
      <c r="H49" s="14">
        <v>1215.2380952380954</v>
      </c>
      <c r="I49" s="15">
        <v>450</v>
      </c>
    </row>
    <row r="50" spans="1:9" x14ac:dyDescent="0.3">
      <c r="A50" s="13" t="s">
        <v>8</v>
      </c>
      <c r="B50" s="13" t="s">
        <v>9</v>
      </c>
      <c r="C50" s="13" t="s">
        <v>25</v>
      </c>
      <c r="D50" s="13" t="s">
        <v>23</v>
      </c>
      <c r="E50">
        <v>4</v>
      </c>
      <c r="F50" s="15">
        <v>3600</v>
      </c>
      <c r="G50" s="14">
        <v>1604</v>
      </c>
      <c r="H50" s="14">
        <v>304.47457627118638</v>
      </c>
      <c r="I50" s="15">
        <v>900</v>
      </c>
    </row>
    <row r="51" spans="1:9" x14ac:dyDescent="0.3">
      <c r="A51" s="13" t="s">
        <v>8</v>
      </c>
      <c r="B51" s="13" t="s">
        <v>9</v>
      </c>
      <c r="C51" s="13" t="s">
        <v>12</v>
      </c>
      <c r="D51" s="13" t="s">
        <v>11</v>
      </c>
      <c r="E51">
        <v>16</v>
      </c>
      <c r="F51" s="15">
        <v>9600</v>
      </c>
      <c r="G51" s="14">
        <v>2416</v>
      </c>
      <c r="H51" s="14">
        <v>342.09523809523853</v>
      </c>
      <c r="I51" s="15">
        <v>600</v>
      </c>
    </row>
    <row r="52" spans="1:9" x14ac:dyDescent="0.3">
      <c r="A52" s="13" t="s">
        <v>8</v>
      </c>
      <c r="B52" s="13" t="s">
        <v>9</v>
      </c>
      <c r="C52" s="13" t="s">
        <v>13</v>
      </c>
      <c r="D52" s="13" t="s">
        <v>14</v>
      </c>
      <c r="E52">
        <v>56</v>
      </c>
      <c r="F52" s="15">
        <v>21000</v>
      </c>
      <c r="G52" s="14">
        <v>11448</v>
      </c>
      <c r="H52" s="14">
        <v>454.85714285714312</v>
      </c>
      <c r="I52" s="15">
        <v>375</v>
      </c>
    </row>
    <row r="53" spans="1:9" x14ac:dyDescent="0.3">
      <c r="A53" s="13" t="s">
        <v>8</v>
      </c>
      <c r="B53" s="13" t="s">
        <v>9</v>
      </c>
      <c r="C53" s="13" t="s">
        <v>16</v>
      </c>
      <c r="D53" s="13" t="s">
        <v>17</v>
      </c>
      <c r="E53">
        <v>4</v>
      </c>
      <c r="F53" s="15">
        <v>1196</v>
      </c>
      <c r="G53" s="14">
        <v>300</v>
      </c>
      <c r="H53" s="14">
        <v>96.000000000000114</v>
      </c>
      <c r="I53" s="15">
        <v>299</v>
      </c>
    </row>
    <row r="54" spans="1:9" x14ac:dyDescent="0.3">
      <c r="A54" s="13" t="s">
        <v>8</v>
      </c>
      <c r="B54" s="13" t="s">
        <v>9</v>
      </c>
      <c r="C54" s="13" t="s">
        <v>18</v>
      </c>
      <c r="D54" s="13" t="s">
        <v>17</v>
      </c>
      <c r="E54">
        <v>4</v>
      </c>
      <c r="F54" s="15">
        <v>2300</v>
      </c>
      <c r="G54" s="14">
        <v>593.79999999999995</v>
      </c>
      <c r="H54" s="14">
        <v>182.80714285714294</v>
      </c>
      <c r="I54" s="15">
        <v>575</v>
      </c>
    </row>
    <row r="55" spans="1:9" x14ac:dyDescent="0.3">
      <c r="A55" s="13" t="s">
        <v>8</v>
      </c>
      <c r="B55" s="13" t="s">
        <v>9</v>
      </c>
      <c r="C55" s="13" t="s">
        <v>19</v>
      </c>
      <c r="D55" s="13" t="s">
        <v>17</v>
      </c>
      <c r="E55">
        <v>92</v>
      </c>
      <c r="F55" s="15">
        <v>105800</v>
      </c>
      <c r="G55" s="14">
        <v>35967.399999999994</v>
      </c>
      <c r="H55" s="14">
        <v>7482.0642857142957</v>
      </c>
      <c r="I55" s="15">
        <v>1150</v>
      </c>
    </row>
    <row r="56" spans="1:9" x14ac:dyDescent="0.3">
      <c r="A56" s="13" t="s">
        <v>8</v>
      </c>
      <c r="B56" s="13" t="s">
        <v>9</v>
      </c>
      <c r="C56" s="13" t="s">
        <v>21</v>
      </c>
      <c r="D56" s="13" t="s">
        <v>11</v>
      </c>
      <c r="E56">
        <v>60</v>
      </c>
      <c r="F56" s="15">
        <v>72000</v>
      </c>
      <c r="G56" s="14">
        <v>21060</v>
      </c>
      <c r="H56" s="14">
        <v>2425.7142857142899</v>
      </c>
      <c r="I56" s="15">
        <v>1200</v>
      </c>
    </row>
    <row r="57" spans="1:9" x14ac:dyDescent="0.3">
      <c r="A57" s="13" t="s">
        <v>8</v>
      </c>
      <c r="B57" s="13" t="s">
        <v>9</v>
      </c>
      <c r="C57" s="13" t="s">
        <v>22</v>
      </c>
      <c r="D57" s="13" t="s">
        <v>23</v>
      </c>
      <c r="E57">
        <v>4</v>
      </c>
      <c r="F57" s="15">
        <v>796</v>
      </c>
      <c r="G57" s="14">
        <v>400</v>
      </c>
      <c r="H57" s="14">
        <v>18.85714285714289</v>
      </c>
      <c r="I57" s="15">
        <v>199</v>
      </c>
    </row>
    <row r="58" spans="1:9" x14ac:dyDescent="0.3">
      <c r="A58" s="13" t="s">
        <v>8</v>
      </c>
      <c r="B58" s="13" t="s">
        <v>9</v>
      </c>
      <c r="C58" s="13" t="s">
        <v>24</v>
      </c>
      <c r="D58" s="13" t="s">
        <v>23</v>
      </c>
      <c r="E58">
        <v>128</v>
      </c>
      <c r="F58" s="15">
        <v>57600</v>
      </c>
      <c r="G58" s="14">
        <v>31244</v>
      </c>
      <c r="H58" s="14">
        <v>1255.0476190476184</v>
      </c>
      <c r="I58" s="15">
        <v>450</v>
      </c>
    </row>
    <row r="59" spans="1:9" x14ac:dyDescent="0.3">
      <c r="A59" s="13" t="s">
        <v>8</v>
      </c>
      <c r="B59" s="13" t="s">
        <v>9</v>
      </c>
      <c r="C59" s="13" t="s">
        <v>25</v>
      </c>
      <c r="D59" s="13" t="s">
        <v>23</v>
      </c>
      <c r="E59">
        <v>4</v>
      </c>
      <c r="F59" s="15">
        <v>3600</v>
      </c>
      <c r="G59" s="14">
        <v>1604</v>
      </c>
      <c r="H59" s="14">
        <v>304.47457627118638</v>
      </c>
      <c r="I59" s="15">
        <v>900</v>
      </c>
    </row>
    <row r="60" spans="1:9" x14ac:dyDescent="0.3">
      <c r="A60" s="13" t="s">
        <v>8</v>
      </c>
      <c r="B60" s="13" t="s">
        <v>28</v>
      </c>
      <c r="C60" s="13" t="s">
        <v>12</v>
      </c>
      <c r="D60" s="13" t="s">
        <v>11</v>
      </c>
      <c r="E60">
        <v>16</v>
      </c>
      <c r="F60" s="15">
        <v>9600</v>
      </c>
      <c r="G60" s="14">
        <v>3292</v>
      </c>
      <c r="H60" s="14">
        <v>300.38095238095229</v>
      </c>
      <c r="I60" s="15">
        <v>600</v>
      </c>
    </row>
    <row r="61" spans="1:9" x14ac:dyDescent="0.3">
      <c r="A61" s="13" t="s">
        <v>8</v>
      </c>
      <c r="B61" s="13" t="s">
        <v>28</v>
      </c>
      <c r="C61" s="13" t="s">
        <v>18</v>
      </c>
      <c r="D61" s="13" t="s">
        <v>17</v>
      </c>
      <c r="E61">
        <v>20</v>
      </c>
      <c r="F61" s="15">
        <v>11500</v>
      </c>
      <c r="G61" s="14">
        <v>3454.3999999999996</v>
      </c>
      <c r="H61" s="14">
        <v>862.02857142857192</v>
      </c>
      <c r="I61" s="15">
        <v>575</v>
      </c>
    </row>
    <row r="62" spans="1:9" x14ac:dyDescent="0.3">
      <c r="A62" s="13" t="s">
        <v>8</v>
      </c>
      <c r="B62" s="13" t="s">
        <v>28</v>
      </c>
      <c r="C62" s="13" t="s">
        <v>19</v>
      </c>
      <c r="D62" s="13" t="s">
        <v>17</v>
      </c>
      <c r="E62">
        <v>104</v>
      </c>
      <c r="F62" s="15">
        <v>119600</v>
      </c>
      <c r="G62" s="14">
        <v>47278.44</v>
      </c>
      <c r="H62" s="14">
        <v>7748.7385714285774</v>
      </c>
      <c r="I62" s="15">
        <v>1150</v>
      </c>
    </row>
    <row r="63" spans="1:9" x14ac:dyDescent="0.3">
      <c r="A63" s="13" t="s">
        <v>8</v>
      </c>
      <c r="B63" s="13" t="s">
        <v>28</v>
      </c>
      <c r="C63" s="13" t="s">
        <v>21</v>
      </c>
      <c r="D63" s="13" t="s">
        <v>11</v>
      </c>
      <c r="E63">
        <v>96</v>
      </c>
      <c r="F63" s="15">
        <v>115200</v>
      </c>
      <c r="G63" s="14">
        <v>48228.600000000006</v>
      </c>
      <c r="H63" s="14">
        <v>3189.1142857142913</v>
      </c>
      <c r="I63" s="15">
        <v>1200</v>
      </c>
    </row>
    <row r="64" spans="1:9" x14ac:dyDescent="0.3">
      <c r="A64" s="13" t="s">
        <v>8</v>
      </c>
      <c r="B64" s="13" t="s">
        <v>28</v>
      </c>
      <c r="C64" s="13" t="s">
        <v>24</v>
      </c>
      <c r="D64" s="13" t="s">
        <v>23</v>
      </c>
      <c r="E64">
        <v>8</v>
      </c>
      <c r="F64" s="15">
        <v>3600</v>
      </c>
      <c r="G64" s="14">
        <v>1800</v>
      </c>
      <c r="H64" s="14">
        <v>85.714285714285779</v>
      </c>
      <c r="I64" s="15">
        <v>450</v>
      </c>
    </row>
    <row r="65" spans="1:9" x14ac:dyDescent="0.3">
      <c r="A65" s="13" t="s">
        <v>8</v>
      </c>
      <c r="B65" s="13" t="s">
        <v>28</v>
      </c>
      <c r="C65" s="13" t="s">
        <v>10</v>
      </c>
      <c r="D65" s="13" t="s">
        <v>11</v>
      </c>
      <c r="E65">
        <v>8</v>
      </c>
      <c r="F65" s="15">
        <v>2680</v>
      </c>
      <c r="G65" s="14">
        <v>1088</v>
      </c>
      <c r="H65" s="14">
        <v>75.809523809523853</v>
      </c>
      <c r="I65" s="15">
        <v>335</v>
      </c>
    </row>
    <row r="66" spans="1:9" x14ac:dyDescent="0.3">
      <c r="A66" s="13" t="s">
        <v>8</v>
      </c>
      <c r="B66" s="13" t="s">
        <v>28</v>
      </c>
      <c r="C66" s="13" t="s">
        <v>12</v>
      </c>
      <c r="D66" s="13" t="s">
        <v>11</v>
      </c>
      <c r="E66">
        <v>40</v>
      </c>
      <c r="F66" s="15">
        <v>24000</v>
      </c>
      <c r="G66" s="14">
        <v>8116</v>
      </c>
      <c r="H66" s="14">
        <v>756.38095238095229</v>
      </c>
      <c r="I66" s="15">
        <v>600</v>
      </c>
    </row>
    <row r="67" spans="1:9" x14ac:dyDescent="0.3">
      <c r="A67" s="13" t="s">
        <v>8</v>
      </c>
      <c r="B67" s="13" t="s">
        <v>28</v>
      </c>
      <c r="C67" s="13" t="s">
        <v>13</v>
      </c>
      <c r="D67" s="13" t="s">
        <v>14</v>
      </c>
      <c r="E67">
        <v>16</v>
      </c>
      <c r="F67" s="15">
        <v>6000</v>
      </c>
      <c r="G67" s="14">
        <v>2853.92</v>
      </c>
      <c r="H67" s="14">
        <v>149.8133333333335</v>
      </c>
      <c r="I67" s="15">
        <v>375</v>
      </c>
    </row>
    <row r="68" spans="1:9" x14ac:dyDescent="0.3">
      <c r="A68" s="13" t="s">
        <v>8</v>
      </c>
      <c r="B68" s="13" t="s">
        <v>28</v>
      </c>
      <c r="C68" s="13" t="s">
        <v>15</v>
      </c>
      <c r="D68" s="13" t="s">
        <v>14</v>
      </c>
      <c r="E68">
        <v>4</v>
      </c>
      <c r="F68" s="15">
        <v>660</v>
      </c>
      <c r="G68" s="14">
        <v>144</v>
      </c>
      <c r="H68" s="14">
        <v>24.571428571428612</v>
      </c>
      <c r="I68" s="15">
        <v>165</v>
      </c>
    </row>
    <row r="69" spans="1:9" x14ac:dyDescent="0.3">
      <c r="A69" s="13" t="s">
        <v>8</v>
      </c>
      <c r="B69" s="13" t="s">
        <v>28</v>
      </c>
      <c r="C69" s="13" t="s">
        <v>16</v>
      </c>
      <c r="D69" s="13" t="s">
        <v>17</v>
      </c>
      <c r="E69">
        <v>12</v>
      </c>
      <c r="F69" s="15">
        <v>3588</v>
      </c>
      <c r="G69" s="14">
        <v>900</v>
      </c>
      <c r="H69" s="14">
        <v>288.00000000000045</v>
      </c>
      <c r="I69" s="15">
        <v>299</v>
      </c>
    </row>
    <row r="70" spans="1:9" x14ac:dyDescent="0.3">
      <c r="A70" s="13" t="s">
        <v>8</v>
      </c>
      <c r="B70" s="13" t="s">
        <v>28</v>
      </c>
      <c r="C70" s="13" t="s">
        <v>18</v>
      </c>
      <c r="D70" s="13" t="s">
        <v>17</v>
      </c>
      <c r="E70">
        <v>16</v>
      </c>
      <c r="F70" s="15">
        <v>9200</v>
      </c>
      <c r="G70" s="14">
        <v>2176</v>
      </c>
      <c r="H70" s="14">
        <v>752.57142857142935</v>
      </c>
      <c r="I70" s="15">
        <v>575</v>
      </c>
    </row>
    <row r="71" spans="1:9" x14ac:dyDescent="0.3">
      <c r="A71" s="13" t="s">
        <v>8</v>
      </c>
      <c r="B71" s="13" t="s">
        <v>28</v>
      </c>
      <c r="C71" s="13" t="s">
        <v>19</v>
      </c>
      <c r="D71" s="13" t="s">
        <v>17</v>
      </c>
      <c r="E71">
        <v>944</v>
      </c>
      <c r="F71" s="15">
        <v>1085600</v>
      </c>
      <c r="G71" s="14">
        <v>435579.92000000004</v>
      </c>
      <c r="H71" s="14">
        <v>69645.008571428596</v>
      </c>
      <c r="I71" s="15">
        <v>1150</v>
      </c>
    </row>
    <row r="72" spans="1:9" x14ac:dyDescent="0.3">
      <c r="A72" s="13" t="s">
        <v>8</v>
      </c>
      <c r="B72" s="13" t="s">
        <v>28</v>
      </c>
      <c r="C72" s="13" t="s">
        <v>20</v>
      </c>
      <c r="D72" s="13" t="s">
        <v>14</v>
      </c>
      <c r="E72">
        <v>12</v>
      </c>
      <c r="F72" s="15">
        <v>9000</v>
      </c>
      <c r="G72" s="14">
        <v>4712.5599999999995</v>
      </c>
      <c r="H72" s="14">
        <v>204.1638095238095</v>
      </c>
      <c r="I72" s="15">
        <v>750</v>
      </c>
    </row>
    <row r="73" spans="1:9" x14ac:dyDescent="0.3">
      <c r="A73" s="13" t="s">
        <v>8</v>
      </c>
      <c r="B73" s="13" t="s">
        <v>28</v>
      </c>
      <c r="C73" s="13" t="s">
        <v>21</v>
      </c>
      <c r="D73" s="13" t="s">
        <v>11</v>
      </c>
      <c r="E73">
        <v>1192</v>
      </c>
      <c r="F73" s="15">
        <v>1430400</v>
      </c>
      <c r="G73" s="14">
        <v>606512.88000000024</v>
      </c>
      <c r="H73" s="14">
        <v>39232.719999999972</v>
      </c>
      <c r="I73" s="15">
        <v>1200</v>
      </c>
    </row>
    <row r="74" spans="1:9" x14ac:dyDescent="0.3">
      <c r="A74" s="13" t="s">
        <v>8</v>
      </c>
      <c r="B74" s="13" t="s">
        <v>28</v>
      </c>
      <c r="C74" s="13" t="s">
        <v>24</v>
      </c>
      <c r="D74" s="13" t="s">
        <v>23</v>
      </c>
      <c r="E74">
        <v>88</v>
      </c>
      <c r="F74" s="15">
        <v>39600</v>
      </c>
      <c r="G74" s="14">
        <v>19928.52</v>
      </c>
      <c r="H74" s="14">
        <v>936.73714285714232</v>
      </c>
      <c r="I74" s="15">
        <v>450</v>
      </c>
    </row>
    <row r="75" spans="1:9" x14ac:dyDescent="0.3">
      <c r="A75" s="13" t="s">
        <v>8</v>
      </c>
      <c r="B75" s="13" t="s">
        <v>28</v>
      </c>
      <c r="C75" s="13" t="s">
        <v>10</v>
      </c>
      <c r="D75" s="13" t="s">
        <v>11</v>
      </c>
      <c r="E75">
        <v>16</v>
      </c>
      <c r="F75" s="15">
        <v>5360</v>
      </c>
      <c r="G75" s="14">
        <v>2176</v>
      </c>
      <c r="H75" s="14">
        <v>151.61904761904771</v>
      </c>
      <c r="I75" s="15">
        <v>335</v>
      </c>
    </row>
    <row r="76" spans="1:9" x14ac:dyDescent="0.3">
      <c r="A76" s="13" t="s">
        <v>8</v>
      </c>
      <c r="B76" s="13" t="s">
        <v>28</v>
      </c>
      <c r="C76" s="13" t="s">
        <v>12</v>
      </c>
      <c r="D76" s="13" t="s">
        <v>11</v>
      </c>
      <c r="E76">
        <v>76</v>
      </c>
      <c r="F76" s="15">
        <v>45600</v>
      </c>
      <c r="G76" s="14">
        <v>15352</v>
      </c>
      <c r="H76" s="14">
        <v>1440.3809523809541</v>
      </c>
      <c r="I76" s="15">
        <v>600</v>
      </c>
    </row>
    <row r="77" spans="1:9" x14ac:dyDescent="0.3">
      <c r="A77" s="13" t="s">
        <v>8</v>
      </c>
      <c r="B77" s="13" t="s">
        <v>28</v>
      </c>
      <c r="C77" s="13" t="s">
        <v>13</v>
      </c>
      <c r="D77" s="13" t="s">
        <v>14</v>
      </c>
      <c r="E77">
        <v>12</v>
      </c>
      <c r="F77" s="15">
        <v>4500</v>
      </c>
      <c r="G77" s="14">
        <v>2225.7199999999998</v>
      </c>
      <c r="H77" s="14">
        <v>108.29904761904754</v>
      </c>
      <c r="I77" s="15">
        <v>375</v>
      </c>
    </row>
    <row r="78" spans="1:9" x14ac:dyDescent="0.3">
      <c r="A78" s="13" t="s">
        <v>8</v>
      </c>
      <c r="B78" s="13" t="s">
        <v>28</v>
      </c>
      <c r="C78" s="13" t="s">
        <v>16</v>
      </c>
      <c r="D78" s="13" t="s">
        <v>17</v>
      </c>
      <c r="E78">
        <v>4</v>
      </c>
      <c r="F78" s="15">
        <v>1196</v>
      </c>
      <c r="G78" s="14">
        <v>300</v>
      </c>
      <c r="H78" s="14">
        <v>96.000000000000114</v>
      </c>
      <c r="I78" s="15">
        <v>299</v>
      </c>
    </row>
    <row r="79" spans="1:9" x14ac:dyDescent="0.3">
      <c r="A79" s="13" t="s">
        <v>8</v>
      </c>
      <c r="B79" s="13" t="s">
        <v>28</v>
      </c>
      <c r="C79" s="13" t="s">
        <v>18</v>
      </c>
      <c r="D79" s="13" t="s">
        <v>17</v>
      </c>
      <c r="E79">
        <v>52</v>
      </c>
      <c r="F79" s="15">
        <v>29900</v>
      </c>
      <c r="G79" s="14">
        <v>7326.4000000000015</v>
      </c>
      <c r="H79" s="14">
        <v>2418.6000000000022</v>
      </c>
      <c r="I79" s="15">
        <v>575</v>
      </c>
    </row>
    <row r="80" spans="1:9" x14ac:dyDescent="0.3">
      <c r="A80" s="13" t="s">
        <v>8</v>
      </c>
      <c r="B80" s="13" t="s">
        <v>28</v>
      </c>
      <c r="C80" s="13" t="s">
        <v>19</v>
      </c>
      <c r="D80" s="13" t="s">
        <v>17</v>
      </c>
      <c r="E80">
        <v>1248</v>
      </c>
      <c r="F80" s="15">
        <v>1435200</v>
      </c>
      <c r="G80" s="14">
        <v>568465.12000000011</v>
      </c>
      <c r="H80" s="14">
        <v>92864.451428571483</v>
      </c>
      <c r="I80" s="15">
        <v>1150</v>
      </c>
    </row>
    <row r="81" spans="1:9" x14ac:dyDescent="0.3">
      <c r="A81" s="13" t="s">
        <v>8</v>
      </c>
      <c r="B81" s="13" t="s">
        <v>28</v>
      </c>
      <c r="C81" s="13" t="s">
        <v>20</v>
      </c>
      <c r="D81" s="13" t="s">
        <v>14</v>
      </c>
      <c r="E81">
        <v>8</v>
      </c>
      <c r="F81" s="15">
        <v>6000</v>
      </c>
      <c r="G81" s="14">
        <v>3048</v>
      </c>
      <c r="H81" s="14">
        <v>140.5714285714289</v>
      </c>
      <c r="I81" s="15">
        <v>750</v>
      </c>
    </row>
    <row r="82" spans="1:9" x14ac:dyDescent="0.3">
      <c r="A82" s="13" t="s">
        <v>8</v>
      </c>
      <c r="B82" s="13" t="s">
        <v>28</v>
      </c>
      <c r="C82" s="13" t="s">
        <v>21</v>
      </c>
      <c r="D82" s="13" t="s">
        <v>11</v>
      </c>
      <c r="E82">
        <v>1424</v>
      </c>
      <c r="F82" s="15">
        <v>1708800</v>
      </c>
      <c r="G82" s="14">
        <v>723543.64000000025</v>
      </c>
      <c r="H82" s="14">
        <v>46916.969523809501</v>
      </c>
      <c r="I82" s="15">
        <v>1200</v>
      </c>
    </row>
    <row r="83" spans="1:9" x14ac:dyDescent="0.3">
      <c r="A83" s="13" t="s">
        <v>8</v>
      </c>
      <c r="B83" s="13" t="s">
        <v>28</v>
      </c>
      <c r="C83" s="13" t="s">
        <v>24</v>
      </c>
      <c r="D83" s="13" t="s">
        <v>23</v>
      </c>
      <c r="E83">
        <v>96</v>
      </c>
      <c r="F83" s="15">
        <v>43200</v>
      </c>
      <c r="G83" s="14">
        <v>21942.840000000004</v>
      </c>
      <c r="H83" s="14">
        <v>1012.2457142857165</v>
      </c>
      <c r="I83" s="15">
        <v>450</v>
      </c>
    </row>
    <row r="84" spans="1:9" x14ac:dyDescent="0.3">
      <c r="A84" s="13" t="s">
        <v>8</v>
      </c>
      <c r="B84" s="13" t="s">
        <v>28</v>
      </c>
      <c r="C84" s="13" t="s">
        <v>25</v>
      </c>
      <c r="D84" s="13" t="s">
        <v>23</v>
      </c>
      <c r="E84">
        <v>12</v>
      </c>
      <c r="F84" s="15">
        <v>10800</v>
      </c>
      <c r="G84" s="14">
        <v>5497.52</v>
      </c>
      <c r="H84" s="14">
        <v>808.85288135593146</v>
      </c>
      <c r="I84" s="15">
        <v>900</v>
      </c>
    </row>
    <row r="85" spans="1:9" x14ac:dyDescent="0.3">
      <c r="A85" s="13" t="s">
        <v>8</v>
      </c>
      <c r="B85" s="13" t="s">
        <v>28</v>
      </c>
      <c r="C85" s="13" t="s">
        <v>10</v>
      </c>
      <c r="D85" s="13" t="s">
        <v>11</v>
      </c>
      <c r="E85">
        <v>36</v>
      </c>
      <c r="F85" s="15">
        <v>12060</v>
      </c>
      <c r="G85" s="14">
        <v>4896</v>
      </c>
      <c r="H85" s="14">
        <v>341.14285714285779</v>
      </c>
      <c r="I85" s="15">
        <v>335</v>
      </c>
    </row>
    <row r="86" spans="1:9" x14ac:dyDescent="0.3">
      <c r="A86" s="13" t="s">
        <v>8</v>
      </c>
      <c r="B86" s="13" t="s">
        <v>28</v>
      </c>
      <c r="C86" s="13" t="s">
        <v>12</v>
      </c>
      <c r="D86" s="13" t="s">
        <v>11</v>
      </c>
      <c r="E86">
        <v>32</v>
      </c>
      <c r="F86" s="15">
        <v>19200</v>
      </c>
      <c r="G86" s="14">
        <v>6364.5600000000013</v>
      </c>
      <c r="H86" s="14">
        <v>611.21142857142877</v>
      </c>
      <c r="I86" s="15">
        <v>600</v>
      </c>
    </row>
    <row r="87" spans="1:9" x14ac:dyDescent="0.3">
      <c r="A87" s="13" t="s">
        <v>8</v>
      </c>
      <c r="B87" s="13" t="s">
        <v>28</v>
      </c>
      <c r="C87" s="13" t="s">
        <v>13</v>
      </c>
      <c r="D87" s="13" t="s">
        <v>14</v>
      </c>
      <c r="E87">
        <v>20</v>
      </c>
      <c r="F87" s="15">
        <v>7500</v>
      </c>
      <c r="G87" s="14">
        <v>3200</v>
      </c>
      <c r="H87" s="14">
        <v>204.76190476190504</v>
      </c>
      <c r="I87" s="15">
        <v>375</v>
      </c>
    </row>
    <row r="88" spans="1:9" x14ac:dyDescent="0.3">
      <c r="A88" s="13" t="s">
        <v>8</v>
      </c>
      <c r="B88" s="13" t="s">
        <v>28</v>
      </c>
      <c r="C88" s="13" t="s">
        <v>15</v>
      </c>
      <c r="D88" s="13" t="s">
        <v>14</v>
      </c>
      <c r="E88">
        <v>4</v>
      </c>
      <c r="F88" s="15">
        <v>660</v>
      </c>
      <c r="G88" s="14">
        <v>144</v>
      </c>
      <c r="H88" s="14">
        <v>24.571428571428612</v>
      </c>
      <c r="I88" s="15">
        <v>165</v>
      </c>
    </row>
    <row r="89" spans="1:9" x14ac:dyDescent="0.3">
      <c r="A89" s="13" t="s">
        <v>8</v>
      </c>
      <c r="B89" s="13" t="s">
        <v>28</v>
      </c>
      <c r="C89" s="13" t="s">
        <v>18</v>
      </c>
      <c r="D89" s="13" t="s">
        <v>17</v>
      </c>
      <c r="E89">
        <v>16</v>
      </c>
      <c r="F89" s="15">
        <v>9200</v>
      </c>
      <c r="G89" s="14">
        <v>2136.16</v>
      </c>
      <c r="H89" s="14">
        <v>756.84000000000106</v>
      </c>
      <c r="I89" s="15">
        <v>575</v>
      </c>
    </row>
    <row r="90" spans="1:9" x14ac:dyDescent="0.3">
      <c r="A90" s="13" t="s">
        <v>8</v>
      </c>
      <c r="B90" s="13" t="s">
        <v>28</v>
      </c>
      <c r="C90" s="13" t="s">
        <v>19</v>
      </c>
      <c r="D90" s="13" t="s">
        <v>17</v>
      </c>
      <c r="E90">
        <v>568</v>
      </c>
      <c r="F90" s="15">
        <v>653200</v>
      </c>
      <c r="G90" s="14">
        <v>252718.04000000004</v>
      </c>
      <c r="H90" s="14">
        <v>42908.781428571441</v>
      </c>
      <c r="I90" s="15">
        <v>1150</v>
      </c>
    </row>
    <row r="91" spans="1:9" x14ac:dyDescent="0.3">
      <c r="A91" s="13" t="s">
        <v>8</v>
      </c>
      <c r="B91" s="13" t="s">
        <v>28</v>
      </c>
      <c r="C91" s="13" t="s">
        <v>20</v>
      </c>
      <c r="D91" s="13" t="s">
        <v>14</v>
      </c>
      <c r="E91">
        <v>4</v>
      </c>
      <c r="F91" s="15">
        <v>3000</v>
      </c>
      <c r="G91" s="14">
        <v>1524</v>
      </c>
      <c r="H91" s="14">
        <v>70.285714285714448</v>
      </c>
      <c r="I91" s="15">
        <v>750</v>
      </c>
    </row>
    <row r="92" spans="1:9" x14ac:dyDescent="0.3">
      <c r="A92" s="13" t="s">
        <v>8</v>
      </c>
      <c r="B92" s="13" t="s">
        <v>28</v>
      </c>
      <c r="C92" s="13" t="s">
        <v>21</v>
      </c>
      <c r="D92" s="13" t="s">
        <v>11</v>
      </c>
      <c r="E92">
        <v>780</v>
      </c>
      <c r="F92" s="15">
        <v>936000</v>
      </c>
      <c r="G92" s="14">
        <v>381732.91999999981</v>
      </c>
      <c r="H92" s="14">
        <v>26393.670476190513</v>
      </c>
      <c r="I92" s="15">
        <v>1200</v>
      </c>
    </row>
    <row r="93" spans="1:9" x14ac:dyDescent="0.3">
      <c r="A93" s="13" t="s">
        <v>8</v>
      </c>
      <c r="B93" s="13" t="s">
        <v>28</v>
      </c>
      <c r="C93" s="13" t="s">
        <v>24</v>
      </c>
      <c r="D93" s="13" t="s">
        <v>23</v>
      </c>
      <c r="E93">
        <v>44</v>
      </c>
      <c r="F93" s="15">
        <v>19800</v>
      </c>
      <c r="G93" s="14">
        <v>9364.9599999999991</v>
      </c>
      <c r="H93" s="14">
        <v>496.90666666666766</v>
      </c>
      <c r="I93" s="15">
        <v>450</v>
      </c>
    </row>
    <row r="94" spans="1:9" x14ac:dyDescent="0.3">
      <c r="A94" s="13" t="s">
        <v>8</v>
      </c>
      <c r="B94" s="13" t="s">
        <v>28</v>
      </c>
      <c r="C94" s="13" t="s">
        <v>10</v>
      </c>
      <c r="D94" s="13" t="s">
        <v>11</v>
      </c>
      <c r="E94">
        <v>8</v>
      </c>
      <c r="F94" s="15">
        <v>2680</v>
      </c>
      <c r="G94" s="14">
        <v>448</v>
      </c>
      <c r="H94" s="14">
        <v>106.28571428571422</v>
      </c>
      <c r="I94" s="15">
        <v>335</v>
      </c>
    </row>
    <row r="95" spans="1:9" x14ac:dyDescent="0.3">
      <c r="A95" s="13" t="s">
        <v>8</v>
      </c>
      <c r="B95" s="13" t="s">
        <v>28</v>
      </c>
      <c r="C95" s="13" t="s">
        <v>12</v>
      </c>
      <c r="D95" s="13" t="s">
        <v>11</v>
      </c>
      <c r="E95">
        <v>48</v>
      </c>
      <c r="F95" s="15">
        <v>28800</v>
      </c>
      <c r="G95" s="14">
        <v>7248</v>
      </c>
      <c r="H95" s="14">
        <v>1026.2857142857138</v>
      </c>
      <c r="I95" s="15">
        <v>600</v>
      </c>
    </row>
    <row r="96" spans="1:9" x14ac:dyDescent="0.3">
      <c r="A96" s="13" t="s">
        <v>8</v>
      </c>
      <c r="B96" s="13" t="s">
        <v>28</v>
      </c>
      <c r="C96" s="13" t="s">
        <v>16</v>
      </c>
      <c r="D96" s="13" t="s">
        <v>17</v>
      </c>
      <c r="E96">
        <v>4</v>
      </c>
      <c r="F96" s="15">
        <v>1196</v>
      </c>
      <c r="G96" s="14">
        <v>200</v>
      </c>
      <c r="H96" s="14">
        <v>106.71428571428578</v>
      </c>
      <c r="I96" s="15">
        <v>299</v>
      </c>
    </row>
    <row r="97" spans="1:9" x14ac:dyDescent="0.3">
      <c r="A97" s="13" t="s">
        <v>8</v>
      </c>
      <c r="B97" s="13" t="s">
        <v>28</v>
      </c>
      <c r="C97" s="13" t="s">
        <v>18</v>
      </c>
      <c r="D97" s="13" t="s">
        <v>17</v>
      </c>
      <c r="E97">
        <v>56</v>
      </c>
      <c r="F97" s="15">
        <v>32200</v>
      </c>
      <c r="G97" s="14">
        <v>7352.16</v>
      </c>
      <c r="H97" s="14">
        <v>2662.2685714285726</v>
      </c>
      <c r="I97" s="15">
        <v>575</v>
      </c>
    </row>
    <row r="98" spans="1:9" x14ac:dyDescent="0.3">
      <c r="A98" s="13" t="s">
        <v>8</v>
      </c>
      <c r="B98" s="13" t="s">
        <v>28</v>
      </c>
      <c r="C98" s="13" t="s">
        <v>19</v>
      </c>
      <c r="D98" s="13" t="s">
        <v>17</v>
      </c>
      <c r="E98">
        <v>88</v>
      </c>
      <c r="F98" s="15">
        <v>101200</v>
      </c>
      <c r="G98" s="14">
        <v>26639.600000000006</v>
      </c>
      <c r="H98" s="14">
        <v>7988.6142857142986</v>
      </c>
      <c r="I98" s="15">
        <v>1150</v>
      </c>
    </row>
    <row r="99" spans="1:9" x14ac:dyDescent="0.3">
      <c r="A99" s="13" t="s">
        <v>8</v>
      </c>
      <c r="B99" s="13" t="s">
        <v>28</v>
      </c>
      <c r="C99" s="13" t="s">
        <v>20</v>
      </c>
      <c r="D99" s="13" t="s">
        <v>14</v>
      </c>
      <c r="E99">
        <v>8</v>
      </c>
      <c r="F99" s="15">
        <v>6000</v>
      </c>
      <c r="G99" s="14">
        <v>2808</v>
      </c>
      <c r="H99" s="14">
        <v>152</v>
      </c>
      <c r="I99" s="15">
        <v>750</v>
      </c>
    </row>
    <row r="100" spans="1:9" x14ac:dyDescent="0.3">
      <c r="A100" s="13" t="s">
        <v>8</v>
      </c>
      <c r="B100" s="13" t="s">
        <v>28</v>
      </c>
      <c r="C100" s="13" t="s">
        <v>21</v>
      </c>
      <c r="D100" s="13" t="s">
        <v>11</v>
      </c>
      <c r="E100">
        <v>300</v>
      </c>
      <c r="F100" s="15">
        <v>360000</v>
      </c>
      <c r="G100" s="14">
        <v>127225.36000000002</v>
      </c>
      <c r="H100" s="14">
        <v>11084.506666666683</v>
      </c>
      <c r="I100" s="15">
        <v>1200</v>
      </c>
    </row>
    <row r="101" spans="1:9" x14ac:dyDescent="0.3">
      <c r="A101" s="13" t="s">
        <v>8</v>
      </c>
      <c r="B101" s="13" t="s">
        <v>28</v>
      </c>
      <c r="C101" s="13" t="s">
        <v>24</v>
      </c>
      <c r="D101" s="13" t="s">
        <v>23</v>
      </c>
      <c r="E101">
        <v>28</v>
      </c>
      <c r="F101" s="15">
        <v>12600</v>
      </c>
      <c r="G101" s="14">
        <v>4228</v>
      </c>
      <c r="H101" s="14">
        <v>398.66666666666697</v>
      </c>
      <c r="I101" s="15">
        <v>450</v>
      </c>
    </row>
    <row r="102" spans="1:9" x14ac:dyDescent="0.3">
      <c r="A102" s="13" t="s">
        <v>8</v>
      </c>
      <c r="B102" s="13" t="s">
        <v>28</v>
      </c>
      <c r="C102" s="13" t="s">
        <v>12</v>
      </c>
      <c r="D102" s="13" t="s">
        <v>11</v>
      </c>
      <c r="E102">
        <v>60</v>
      </c>
      <c r="F102" s="15">
        <v>36000</v>
      </c>
      <c r="G102" s="14">
        <v>9316.5600000000013</v>
      </c>
      <c r="H102" s="14">
        <v>1270.6399999999994</v>
      </c>
      <c r="I102" s="15">
        <v>600</v>
      </c>
    </row>
    <row r="103" spans="1:9" x14ac:dyDescent="0.3">
      <c r="A103" s="13" t="s">
        <v>8</v>
      </c>
      <c r="B103" s="13" t="s">
        <v>28</v>
      </c>
      <c r="C103" s="13" t="s">
        <v>13</v>
      </c>
      <c r="D103" s="13" t="s">
        <v>14</v>
      </c>
      <c r="E103">
        <v>12</v>
      </c>
      <c r="F103" s="15">
        <v>4500</v>
      </c>
      <c r="G103" s="14">
        <v>1872</v>
      </c>
      <c r="H103" s="14">
        <v>125.14285714285734</v>
      </c>
      <c r="I103" s="15">
        <v>375</v>
      </c>
    </row>
    <row r="104" spans="1:9" x14ac:dyDescent="0.3">
      <c r="A104" s="13" t="s">
        <v>8</v>
      </c>
      <c r="B104" s="13" t="s">
        <v>28</v>
      </c>
      <c r="C104" s="13" t="s">
        <v>18</v>
      </c>
      <c r="D104" s="13" t="s">
        <v>17</v>
      </c>
      <c r="E104">
        <v>68</v>
      </c>
      <c r="F104" s="15">
        <v>39100</v>
      </c>
      <c r="G104" s="14">
        <v>8568</v>
      </c>
      <c r="H104" s="14">
        <v>3271.2857142857174</v>
      </c>
      <c r="I104" s="15">
        <v>575</v>
      </c>
    </row>
    <row r="105" spans="1:9" x14ac:dyDescent="0.3">
      <c r="A105" s="13" t="s">
        <v>8</v>
      </c>
      <c r="B105" s="13" t="s">
        <v>28</v>
      </c>
      <c r="C105" s="13" t="s">
        <v>19</v>
      </c>
      <c r="D105" s="13" t="s">
        <v>17</v>
      </c>
      <c r="E105">
        <v>92</v>
      </c>
      <c r="F105" s="15">
        <v>105800</v>
      </c>
      <c r="G105" s="14">
        <v>28753.199999999997</v>
      </c>
      <c r="H105" s="14">
        <v>8255.0142857142928</v>
      </c>
      <c r="I105" s="15">
        <v>1150</v>
      </c>
    </row>
    <row r="106" spans="1:9" x14ac:dyDescent="0.3">
      <c r="A106" s="13" t="s">
        <v>8</v>
      </c>
      <c r="B106" s="13" t="s">
        <v>28</v>
      </c>
      <c r="C106" s="13" t="s">
        <v>20</v>
      </c>
      <c r="D106" s="13" t="s">
        <v>14</v>
      </c>
      <c r="E106">
        <v>4</v>
      </c>
      <c r="F106" s="15">
        <v>3000</v>
      </c>
      <c r="G106" s="14">
        <v>1404</v>
      </c>
      <c r="H106" s="14">
        <v>76</v>
      </c>
      <c r="I106" s="15">
        <v>750</v>
      </c>
    </row>
    <row r="107" spans="1:9" x14ac:dyDescent="0.3">
      <c r="A107" s="13" t="s">
        <v>8</v>
      </c>
      <c r="B107" s="13" t="s">
        <v>28</v>
      </c>
      <c r="C107" s="13" t="s">
        <v>21</v>
      </c>
      <c r="D107" s="13" t="s">
        <v>11</v>
      </c>
      <c r="E107">
        <v>236</v>
      </c>
      <c r="F107" s="15">
        <v>283200</v>
      </c>
      <c r="G107" s="14">
        <v>83482.880000000005</v>
      </c>
      <c r="H107" s="14">
        <v>9510.3390476190543</v>
      </c>
      <c r="I107" s="15">
        <v>1200</v>
      </c>
    </row>
    <row r="108" spans="1:9" x14ac:dyDescent="0.3">
      <c r="A108" s="13" t="s">
        <v>8</v>
      </c>
      <c r="B108" s="13" t="s">
        <v>28</v>
      </c>
      <c r="C108" s="13" t="s">
        <v>22</v>
      </c>
      <c r="D108" s="13" t="s">
        <v>23</v>
      </c>
      <c r="E108">
        <v>4</v>
      </c>
      <c r="F108" s="15">
        <v>796</v>
      </c>
      <c r="G108" s="14">
        <v>0</v>
      </c>
      <c r="H108" s="14">
        <v>37.904761904761926</v>
      </c>
      <c r="I108" s="15">
        <v>199</v>
      </c>
    </row>
    <row r="109" spans="1:9" x14ac:dyDescent="0.3">
      <c r="A109" s="13" t="s">
        <v>8</v>
      </c>
      <c r="B109" s="13" t="s">
        <v>28</v>
      </c>
      <c r="C109" s="13" t="s">
        <v>24</v>
      </c>
      <c r="D109" s="13" t="s">
        <v>23</v>
      </c>
      <c r="E109">
        <v>36</v>
      </c>
      <c r="F109" s="15">
        <v>16200</v>
      </c>
      <c r="G109" s="14">
        <v>5436</v>
      </c>
      <c r="H109" s="14">
        <v>512.57142857142935</v>
      </c>
      <c r="I109" s="15">
        <v>450</v>
      </c>
    </row>
    <row r="110" spans="1:9" x14ac:dyDescent="0.3">
      <c r="A110" s="13" t="s">
        <v>8</v>
      </c>
      <c r="B110" s="13" t="s">
        <v>28</v>
      </c>
      <c r="C110" s="13" t="s">
        <v>10</v>
      </c>
      <c r="D110" s="13" t="s">
        <v>11</v>
      </c>
      <c r="E110">
        <v>4</v>
      </c>
      <c r="F110" s="15">
        <v>1340</v>
      </c>
      <c r="G110" s="14">
        <v>224</v>
      </c>
      <c r="H110" s="14">
        <v>53.14285714285711</v>
      </c>
      <c r="I110" s="15">
        <v>335</v>
      </c>
    </row>
    <row r="111" spans="1:9" x14ac:dyDescent="0.3">
      <c r="A111" s="13" t="s">
        <v>8</v>
      </c>
      <c r="B111" s="13" t="s">
        <v>28</v>
      </c>
      <c r="C111" s="13" t="s">
        <v>12</v>
      </c>
      <c r="D111" s="13" t="s">
        <v>11</v>
      </c>
      <c r="E111">
        <v>28</v>
      </c>
      <c r="F111" s="15">
        <v>16800</v>
      </c>
      <c r="G111" s="14">
        <v>4228</v>
      </c>
      <c r="H111" s="14">
        <v>598.66666666666788</v>
      </c>
      <c r="I111" s="15">
        <v>600</v>
      </c>
    </row>
    <row r="112" spans="1:9" x14ac:dyDescent="0.3">
      <c r="A112" s="13" t="s">
        <v>8</v>
      </c>
      <c r="B112" s="13" t="s">
        <v>28</v>
      </c>
      <c r="C112" s="13" t="s">
        <v>13</v>
      </c>
      <c r="D112" s="13" t="s">
        <v>14</v>
      </c>
      <c r="E112">
        <v>20</v>
      </c>
      <c r="F112" s="15">
        <v>7500</v>
      </c>
      <c r="G112" s="14">
        <v>3120</v>
      </c>
      <c r="H112" s="14">
        <v>208.57142857142844</v>
      </c>
      <c r="I112" s="15">
        <v>375</v>
      </c>
    </row>
    <row r="113" spans="1:9" x14ac:dyDescent="0.3">
      <c r="A113" s="13" t="s">
        <v>8</v>
      </c>
      <c r="B113" s="13" t="s">
        <v>28</v>
      </c>
      <c r="C113" s="13" t="s">
        <v>15</v>
      </c>
      <c r="D113" s="13" t="s">
        <v>14</v>
      </c>
      <c r="E113">
        <v>4</v>
      </c>
      <c r="F113" s="15">
        <v>660</v>
      </c>
      <c r="G113" s="14">
        <v>104</v>
      </c>
      <c r="H113" s="14">
        <v>26.476190476190482</v>
      </c>
      <c r="I113" s="15">
        <v>165</v>
      </c>
    </row>
    <row r="114" spans="1:9" x14ac:dyDescent="0.3">
      <c r="A114" s="13" t="s">
        <v>8</v>
      </c>
      <c r="B114" s="13" t="s">
        <v>28</v>
      </c>
      <c r="C114" s="13" t="s">
        <v>16</v>
      </c>
      <c r="D114" s="13" t="s">
        <v>17</v>
      </c>
      <c r="E114">
        <v>4</v>
      </c>
      <c r="F114" s="15">
        <v>1196</v>
      </c>
      <c r="G114" s="14">
        <v>200</v>
      </c>
      <c r="H114" s="14">
        <v>106.71428571428578</v>
      </c>
      <c r="I114" s="15">
        <v>299</v>
      </c>
    </row>
    <row r="115" spans="1:9" x14ac:dyDescent="0.3">
      <c r="A115" s="13" t="s">
        <v>8</v>
      </c>
      <c r="B115" s="13" t="s">
        <v>28</v>
      </c>
      <c r="C115" s="13" t="s">
        <v>18</v>
      </c>
      <c r="D115" s="13" t="s">
        <v>17</v>
      </c>
      <c r="E115">
        <v>28</v>
      </c>
      <c r="F115" s="15">
        <v>16100</v>
      </c>
      <c r="G115" s="14">
        <v>3744</v>
      </c>
      <c r="H115" s="14">
        <v>1323.8571428571431</v>
      </c>
      <c r="I115" s="15">
        <v>575</v>
      </c>
    </row>
    <row r="116" spans="1:9" x14ac:dyDescent="0.3">
      <c r="A116" s="13" t="s">
        <v>8</v>
      </c>
      <c r="B116" s="13" t="s">
        <v>28</v>
      </c>
      <c r="C116" s="13" t="s">
        <v>19</v>
      </c>
      <c r="D116" s="13" t="s">
        <v>17</v>
      </c>
      <c r="E116">
        <v>120</v>
      </c>
      <c r="F116" s="15">
        <v>138000</v>
      </c>
      <c r="G116" s="14">
        <v>36423.199999999997</v>
      </c>
      <c r="H116" s="14">
        <v>10883.228571428583</v>
      </c>
      <c r="I116" s="15">
        <v>1150</v>
      </c>
    </row>
    <row r="117" spans="1:9" x14ac:dyDescent="0.3">
      <c r="A117" s="13" t="s">
        <v>8</v>
      </c>
      <c r="B117" s="13" t="s">
        <v>28</v>
      </c>
      <c r="C117" s="13" t="s">
        <v>21</v>
      </c>
      <c r="D117" s="13" t="s">
        <v>11</v>
      </c>
      <c r="E117">
        <v>208</v>
      </c>
      <c r="F117" s="15">
        <v>249600</v>
      </c>
      <c r="G117" s="14">
        <v>88076.239999999991</v>
      </c>
      <c r="H117" s="14">
        <v>7691.6076190476306</v>
      </c>
      <c r="I117" s="15">
        <v>1200</v>
      </c>
    </row>
    <row r="118" spans="1:9" x14ac:dyDescent="0.3">
      <c r="A118" s="13" t="s">
        <v>8</v>
      </c>
      <c r="B118" s="13" t="s">
        <v>28</v>
      </c>
      <c r="C118" s="13" t="s">
        <v>24</v>
      </c>
      <c r="D118" s="13" t="s">
        <v>23</v>
      </c>
      <c r="E118">
        <v>24</v>
      </c>
      <c r="F118" s="15">
        <v>10800</v>
      </c>
      <c r="G118" s="14">
        <v>3624</v>
      </c>
      <c r="H118" s="14">
        <v>341.71428571428623</v>
      </c>
      <c r="I118" s="15">
        <v>450</v>
      </c>
    </row>
    <row r="119" spans="1:9" x14ac:dyDescent="0.3">
      <c r="A119" s="13" t="s">
        <v>8</v>
      </c>
      <c r="B119" s="13" t="s">
        <v>28</v>
      </c>
      <c r="C119" s="13" t="s">
        <v>10</v>
      </c>
      <c r="D119" s="13" t="s">
        <v>11</v>
      </c>
      <c r="E119">
        <v>8</v>
      </c>
      <c r="F119" s="15">
        <v>2680</v>
      </c>
      <c r="G119" s="14">
        <v>554.32000000000016</v>
      </c>
      <c r="H119" s="14">
        <v>101.22285714285726</v>
      </c>
      <c r="I119" s="15">
        <v>335</v>
      </c>
    </row>
    <row r="120" spans="1:9" x14ac:dyDescent="0.3">
      <c r="A120" s="13" t="s">
        <v>8</v>
      </c>
      <c r="B120" s="13" t="s">
        <v>28</v>
      </c>
      <c r="C120" s="13" t="s">
        <v>12</v>
      </c>
      <c r="D120" s="13" t="s">
        <v>11</v>
      </c>
      <c r="E120">
        <v>32</v>
      </c>
      <c r="F120" s="15">
        <v>19200</v>
      </c>
      <c r="G120" s="14">
        <v>4832</v>
      </c>
      <c r="H120" s="14">
        <v>684.19047619047706</v>
      </c>
      <c r="I120" s="15">
        <v>600</v>
      </c>
    </row>
    <row r="121" spans="1:9" x14ac:dyDescent="0.3">
      <c r="A121" s="13" t="s">
        <v>8</v>
      </c>
      <c r="B121" s="13" t="s">
        <v>28</v>
      </c>
      <c r="C121" s="13" t="s">
        <v>13</v>
      </c>
      <c r="D121" s="13" t="s">
        <v>14</v>
      </c>
      <c r="E121">
        <v>12</v>
      </c>
      <c r="F121" s="15">
        <v>4500</v>
      </c>
      <c r="G121" s="14">
        <v>1872</v>
      </c>
      <c r="H121" s="14">
        <v>125.14285714285734</v>
      </c>
      <c r="I121" s="15">
        <v>375</v>
      </c>
    </row>
    <row r="122" spans="1:9" x14ac:dyDescent="0.3">
      <c r="A122" s="13" t="s">
        <v>8</v>
      </c>
      <c r="B122" s="13" t="s">
        <v>28</v>
      </c>
      <c r="C122" s="13" t="s">
        <v>18</v>
      </c>
      <c r="D122" s="13" t="s">
        <v>17</v>
      </c>
      <c r="E122">
        <v>36</v>
      </c>
      <c r="F122" s="15">
        <v>20700</v>
      </c>
      <c r="G122" s="14">
        <v>4536</v>
      </c>
      <c r="H122" s="14">
        <v>1731.8571428571449</v>
      </c>
      <c r="I122" s="15">
        <v>575</v>
      </c>
    </row>
    <row r="123" spans="1:9" x14ac:dyDescent="0.3">
      <c r="A123" s="13" t="s">
        <v>8</v>
      </c>
      <c r="B123" s="13" t="s">
        <v>28</v>
      </c>
      <c r="C123" s="13" t="s">
        <v>19</v>
      </c>
      <c r="D123" s="13" t="s">
        <v>17</v>
      </c>
      <c r="E123">
        <v>116</v>
      </c>
      <c r="F123" s="15">
        <v>133400</v>
      </c>
      <c r="G123" s="14">
        <v>35219.200000000012</v>
      </c>
      <c r="H123" s="14">
        <v>10519.371428571438</v>
      </c>
      <c r="I123" s="15">
        <v>1150</v>
      </c>
    </row>
    <row r="124" spans="1:9" x14ac:dyDescent="0.3">
      <c r="A124" s="13" t="s">
        <v>8</v>
      </c>
      <c r="B124" s="13" t="s">
        <v>28</v>
      </c>
      <c r="C124" s="13" t="s">
        <v>20</v>
      </c>
      <c r="D124" s="13" t="s">
        <v>14</v>
      </c>
      <c r="E124">
        <v>8</v>
      </c>
      <c r="F124" s="15">
        <v>6000</v>
      </c>
      <c r="G124" s="14">
        <v>2808</v>
      </c>
      <c r="H124" s="14">
        <v>152</v>
      </c>
      <c r="I124" s="15">
        <v>750</v>
      </c>
    </row>
    <row r="125" spans="1:9" x14ac:dyDescent="0.3">
      <c r="A125" s="13" t="s">
        <v>8</v>
      </c>
      <c r="B125" s="13" t="s">
        <v>28</v>
      </c>
      <c r="C125" s="13" t="s">
        <v>21</v>
      </c>
      <c r="D125" s="13" t="s">
        <v>11</v>
      </c>
      <c r="E125">
        <v>272</v>
      </c>
      <c r="F125" s="15">
        <v>326400</v>
      </c>
      <c r="G125" s="14">
        <v>95957.16</v>
      </c>
      <c r="H125" s="14">
        <v>10973.468571428588</v>
      </c>
      <c r="I125" s="15">
        <v>1200</v>
      </c>
    </row>
    <row r="126" spans="1:9" x14ac:dyDescent="0.3">
      <c r="A126" s="13" t="s">
        <v>8</v>
      </c>
      <c r="B126" s="13" t="s">
        <v>28</v>
      </c>
      <c r="C126" s="13" t="s">
        <v>24</v>
      </c>
      <c r="D126" s="13" t="s">
        <v>23</v>
      </c>
      <c r="E126">
        <v>44</v>
      </c>
      <c r="F126" s="15">
        <v>19800</v>
      </c>
      <c r="G126" s="14">
        <v>6700.9599999999991</v>
      </c>
      <c r="H126" s="14">
        <v>623.76380952381078</v>
      </c>
      <c r="I126" s="15">
        <v>450</v>
      </c>
    </row>
    <row r="127" spans="1:9" x14ac:dyDescent="0.3">
      <c r="A127" s="13" t="s">
        <v>8</v>
      </c>
      <c r="B127" s="13" t="s">
        <v>28</v>
      </c>
      <c r="C127" s="13" t="s">
        <v>25</v>
      </c>
      <c r="D127" s="13" t="s">
        <v>23</v>
      </c>
      <c r="E127">
        <v>8</v>
      </c>
      <c r="F127" s="15">
        <v>7200</v>
      </c>
      <c r="G127" s="14">
        <v>3608</v>
      </c>
      <c r="H127" s="14">
        <v>547.93220338983019</v>
      </c>
      <c r="I127" s="15">
        <v>900</v>
      </c>
    </row>
    <row r="128" spans="1:9" x14ac:dyDescent="0.3">
      <c r="A128" s="13" t="s">
        <v>8</v>
      </c>
      <c r="B128" s="13" t="s">
        <v>28</v>
      </c>
      <c r="C128" s="13" t="s">
        <v>12</v>
      </c>
      <c r="D128" s="13" t="s">
        <v>11</v>
      </c>
      <c r="E128">
        <v>40</v>
      </c>
      <c r="F128" s="15">
        <v>24000</v>
      </c>
      <c r="G128" s="14">
        <v>6211.0400000000009</v>
      </c>
      <c r="H128" s="14">
        <v>847.09333333333416</v>
      </c>
      <c r="I128" s="15">
        <v>600</v>
      </c>
    </row>
    <row r="129" spans="1:9" x14ac:dyDescent="0.3">
      <c r="A129" s="13" t="s">
        <v>8</v>
      </c>
      <c r="B129" s="13" t="s">
        <v>28</v>
      </c>
      <c r="C129" s="13" t="s">
        <v>13</v>
      </c>
      <c r="D129" s="13" t="s">
        <v>14</v>
      </c>
      <c r="E129">
        <v>8</v>
      </c>
      <c r="F129" s="15">
        <v>3000</v>
      </c>
      <c r="G129" s="14">
        <v>1248</v>
      </c>
      <c r="H129" s="14">
        <v>83.428571428571558</v>
      </c>
      <c r="I129" s="15">
        <v>375</v>
      </c>
    </row>
    <row r="130" spans="1:9" x14ac:dyDescent="0.3">
      <c r="A130" s="13" t="s">
        <v>8</v>
      </c>
      <c r="B130" s="13" t="s">
        <v>28</v>
      </c>
      <c r="C130" s="13" t="s">
        <v>16</v>
      </c>
      <c r="D130" s="13" t="s">
        <v>17</v>
      </c>
      <c r="E130">
        <v>4</v>
      </c>
      <c r="F130" s="15">
        <v>1196</v>
      </c>
      <c r="G130" s="14">
        <v>200</v>
      </c>
      <c r="H130" s="14">
        <v>106.71428571428578</v>
      </c>
      <c r="I130" s="15">
        <v>299</v>
      </c>
    </row>
    <row r="131" spans="1:9" x14ac:dyDescent="0.3">
      <c r="A131" s="13" t="s">
        <v>8</v>
      </c>
      <c r="B131" s="13" t="s">
        <v>28</v>
      </c>
      <c r="C131" s="13" t="s">
        <v>18</v>
      </c>
      <c r="D131" s="13" t="s">
        <v>17</v>
      </c>
      <c r="E131">
        <v>36</v>
      </c>
      <c r="F131" s="15">
        <v>20700</v>
      </c>
      <c r="G131" s="14">
        <v>4752</v>
      </c>
      <c r="H131" s="14">
        <v>1708.7142857142862</v>
      </c>
      <c r="I131" s="15">
        <v>575</v>
      </c>
    </row>
    <row r="132" spans="1:9" x14ac:dyDescent="0.3">
      <c r="A132" s="13" t="s">
        <v>8</v>
      </c>
      <c r="B132" s="13" t="s">
        <v>28</v>
      </c>
      <c r="C132" s="13" t="s">
        <v>19</v>
      </c>
      <c r="D132" s="13" t="s">
        <v>17</v>
      </c>
      <c r="E132">
        <v>112</v>
      </c>
      <c r="F132" s="15">
        <v>128800</v>
      </c>
      <c r="G132" s="14">
        <v>34166.799999999988</v>
      </c>
      <c r="H132" s="14">
        <v>10139.271428571432</v>
      </c>
      <c r="I132" s="15">
        <v>1150</v>
      </c>
    </row>
    <row r="133" spans="1:9" x14ac:dyDescent="0.3">
      <c r="A133" s="13" t="s">
        <v>8</v>
      </c>
      <c r="B133" s="13" t="s">
        <v>28</v>
      </c>
      <c r="C133" s="13" t="s">
        <v>20</v>
      </c>
      <c r="D133" s="13" t="s">
        <v>14</v>
      </c>
      <c r="E133">
        <v>4</v>
      </c>
      <c r="F133" s="15">
        <v>3000</v>
      </c>
      <c r="G133" s="14">
        <v>1404</v>
      </c>
      <c r="H133" s="14">
        <v>76</v>
      </c>
      <c r="I133" s="15">
        <v>750</v>
      </c>
    </row>
    <row r="134" spans="1:9" x14ac:dyDescent="0.3">
      <c r="A134" s="13" t="s">
        <v>8</v>
      </c>
      <c r="B134" s="13" t="s">
        <v>28</v>
      </c>
      <c r="C134" s="13" t="s">
        <v>21</v>
      </c>
      <c r="D134" s="13" t="s">
        <v>11</v>
      </c>
      <c r="E134">
        <v>148</v>
      </c>
      <c r="F134" s="15">
        <v>177600</v>
      </c>
      <c r="G134" s="14">
        <v>52271.44</v>
      </c>
      <c r="H134" s="14">
        <v>5968.0266666666721</v>
      </c>
      <c r="I134" s="15">
        <v>1200</v>
      </c>
    </row>
    <row r="135" spans="1:9" x14ac:dyDescent="0.3">
      <c r="A135" s="13" t="s">
        <v>8</v>
      </c>
      <c r="B135" s="13" t="s">
        <v>28</v>
      </c>
      <c r="C135" s="13" t="s">
        <v>24</v>
      </c>
      <c r="D135" s="13" t="s">
        <v>23</v>
      </c>
      <c r="E135">
        <v>36</v>
      </c>
      <c r="F135" s="15">
        <v>16200</v>
      </c>
      <c r="G135" s="14">
        <v>5436</v>
      </c>
      <c r="H135" s="14">
        <v>512.57142857142935</v>
      </c>
      <c r="I135" s="15">
        <v>450</v>
      </c>
    </row>
    <row r="136" spans="1:9" x14ac:dyDescent="0.3">
      <c r="A136" s="13" t="s">
        <v>8</v>
      </c>
      <c r="B136" s="13" t="s">
        <v>28</v>
      </c>
      <c r="C136" s="13" t="s">
        <v>10</v>
      </c>
      <c r="D136" s="13" t="s">
        <v>11</v>
      </c>
      <c r="E136">
        <v>4</v>
      </c>
      <c r="F136" s="15">
        <v>1340</v>
      </c>
      <c r="G136" s="14">
        <v>224</v>
      </c>
      <c r="H136" s="14">
        <v>53.14285714285711</v>
      </c>
      <c r="I136" s="15">
        <v>335</v>
      </c>
    </row>
    <row r="137" spans="1:9" x14ac:dyDescent="0.3">
      <c r="A137" s="13" t="s">
        <v>8</v>
      </c>
      <c r="B137" s="13" t="s">
        <v>28</v>
      </c>
      <c r="C137" s="13" t="s">
        <v>12</v>
      </c>
      <c r="D137" s="13" t="s">
        <v>11</v>
      </c>
      <c r="E137">
        <v>24</v>
      </c>
      <c r="F137" s="15">
        <v>14400</v>
      </c>
      <c r="G137" s="14">
        <v>3624</v>
      </c>
      <c r="H137" s="14">
        <v>513.14285714285688</v>
      </c>
      <c r="I137" s="15">
        <v>600</v>
      </c>
    </row>
    <row r="138" spans="1:9" x14ac:dyDescent="0.3">
      <c r="A138" s="13" t="s">
        <v>8</v>
      </c>
      <c r="B138" s="13" t="s">
        <v>28</v>
      </c>
      <c r="C138" s="13" t="s">
        <v>13</v>
      </c>
      <c r="D138" s="13" t="s">
        <v>14</v>
      </c>
      <c r="E138">
        <v>24</v>
      </c>
      <c r="F138" s="15">
        <v>9000</v>
      </c>
      <c r="G138" s="14">
        <v>3824</v>
      </c>
      <c r="H138" s="14">
        <v>246.47619047619082</v>
      </c>
      <c r="I138" s="15">
        <v>375</v>
      </c>
    </row>
    <row r="139" spans="1:9" x14ac:dyDescent="0.3">
      <c r="A139" s="13" t="s">
        <v>8</v>
      </c>
      <c r="B139" s="13" t="s">
        <v>28</v>
      </c>
      <c r="C139" s="13" t="s">
        <v>16</v>
      </c>
      <c r="D139" s="13" t="s">
        <v>17</v>
      </c>
      <c r="E139">
        <v>4</v>
      </c>
      <c r="F139" s="15">
        <v>1196</v>
      </c>
      <c r="G139" s="14">
        <v>200</v>
      </c>
      <c r="H139" s="14">
        <v>106.71428571428578</v>
      </c>
      <c r="I139" s="15">
        <v>299</v>
      </c>
    </row>
    <row r="140" spans="1:9" x14ac:dyDescent="0.3">
      <c r="A140" s="13" t="s">
        <v>8</v>
      </c>
      <c r="B140" s="13" t="s">
        <v>28</v>
      </c>
      <c r="C140" s="13" t="s">
        <v>18</v>
      </c>
      <c r="D140" s="13" t="s">
        <v>17</v>
      </c>
      <c r="E140">
        <v>28</v>
      </c>
      <c r="F140" s="15">
        <v>16100</v>
      </c>
      <c r="G140" s="14">
        <v>3751</v>
      </c>
      <c r="H140" s="14">
        <v>1323.1071428571431</v>
      </c>
      <c r="I140" s="15">
        <v>575</v>
      </c>
    </row>
    <row r="141" spans="1:9" x14ac:dyDescent="0.3">
      <c r="A141" s="13" t="s">
        <v>8</v>
      </c>
      <c r="B141" s="13" t="s">
        <v>28</v>
      </c>
      <c r="C141" s="13" t="s">
        <v>19</v>
      </c>
      <c r="D141" s="13" t="s">
        <v>17</v>
      </c>
      <c r="E141">
        <v>104</v>
      </c>
      <c r="F141" s="15">
        <v>119600</v>
      </c>
      <c r="G141" s="14">
        <v>33306.48000000001</v>
      </c>
      <c r="H141" s="14">
        <v>9245.7342857142939</v>
      </c>
      <c r="I141" s="15">
        <v>1150</v>
      </c>
    </row>
    <row r="142" spans="1:9" x14ac:dyDescent="0.3">
      <c r="A142" s="13" t="s">
        <v>8</v>
      </c>
      <c r="B142" s="13" t="s">
        <v>28</v>
      </c>
      <c r="C142" s="13" t="s">
        <v>21</v>
      </c>
      <c r="D142" s="13" t="s">
        <v>11</v>
      </c>
      <c r="E142">
        <v>140</v>
      </c>
      <c r="F142" s="15">
        <v>168000</v>
      </c>
      <c r="G142" s="14">
        <v>49301.72</v>
      </c>
      <c r="H142" s="14">
        <v>5652.2990476190462</v>
      </c>
      <c r="I142" s="15">
        <v>1200</v>
      </c>
    </row>
    <row r="143" spans="1:9" x14ac:dyDescent="0.3">
      <c r="A143" s="13" t="s">
        <v>8</v>
      </c>
      <c r="B143" s="13" t="s">
        <v>28</v>
      </c>
      <c r="C143" s="13" t="s">
        <v>24</v>
      </c>
      <c r="D143" s="13" t="s">
        <v>23</v>
      </c>
      <c r="E143">
        <v>40</v>
      </c>
      <c r="F143" s="15">
        <v>18000</v>
      </c>
      <c r="G143" s="14">
        <v>6178.0399999999991</v>
      </c>
      <c r="H143" s="14">
        <v>562.95047619047727</v>
      </c>
      <c r="I143" s="15">
        <v>450</v>
      </c>
    </row>
    <row r="144" spans="1:9" x14ac:dyDescent="0.3">
      <c r="A144" s="13" t="s">
        <v>8</v>
      </c>
      <c r="B144" s="13" t="s">
        <v>28</v>
      </c>
      <c r="C144" s="13" t="s">
        <v>12</v>
      </c>
      <c r="D144" s="13" t="s">
        <v>11</v>
      </c>
      <c r="E144">
        <v>20</v>
      </c>
      <c r="F144" s="15">
        <v>12000</v>
      </c>
      <c r="G144" s="14">
        <v>3029.4799999999996</v>
      </c>
      <c r="H144" s="14">
        <v>427.16761904761916</v>
      </c>
      <c r="I144" s="15">
        <v>600</v>
      </c>
    </row>
    <row r="145" spans="1:9" x14ac:dyDescent="0.3">
      <c r="A145" s="13" t="s">
        <v>8</v>
      </c>
      <c r="B145" s="13" t="s">
        <v>28</v>
      </c>
      <c r="C145" s="13" t="s">
        <v>13</v>
      </c>
      <c r="D145" s="13" t="s">
        <v>14</v>
      </c>
      <c r="E145">
        <v>36</v>
      </c>
      <c r="F145" s="15">
        <v>13500</v>
      </c>
      <c r="G145" s="14">
        <v>5673.12</v>
      </c>
      <c r="H145" s="14">
        <v>372.7085714285713</v>
      </c>
      <c r="I145" s="15">
        <v>375</v>
      </c>
    </row>
    <row r="146" spans="1:9" x14ac:dyDescent="0.3">
      <c r="A146" s="13" t="s">
        <v>8</v>
      </c>
      <c r="B146" s="13" t="s">
        <v>28</v>
      </c>
      <c r="C146" s="13" t="s">
        <v>16</v>
      </c>
      <c r="D146" s="13" t="s">
        <v>17</v>
      </c>
      <c r="E146">
        <v>8</v>
      </c>
      <c r="F146" s="15">
        <v>2392</v>
      </c>
      <c r="G146" s="14">
        <v>417.84000000000015</v>
      </c>
      <c r="H146" s="14">
        <v>211.51714285714297</v>
      </c>
      <c r="I146" s="15">
        <v>299</v>
      </c>
    </row>
    <row r="147" spans="1:9" x14ac:dyDescent="0.3">
      <c r="A147" s="13" t="s">
        <v>8</v>
      </c>
      <c r="B147" s="13" t="s">
        <v>28</v>
      </c>
      <c r="C147" s="13" t="s">
        <v>18</v>
      </c>
      <c r="D147" s="13" t="s">
        <v>17</v>
      </c>
      <c r="E147">
        <v>52</v>
      </c>
      <c r="F147" s="15">
        <v>29900</v>
      </c>
      <c r="G147" s="14">
        <v>7064.32</v>
      </c>
      <c r="H147" s="14">
        <v>2446.6800000000003</v>
      </c>
      <c r="I147" s="15">
        <v>575</v>
      </c>
    </row>
    <row r="148" spans="1:9" x14ac:dyDescent="0.3">
      <c r="A148" s="13" t="s">
        <v>8</v>
      </c>
      <c r="B148" s="13" t="s">
        <v>28</v>
      </c>
      <c r="C148" s="13" t="s">
        <v>19</v>
      </c>
      <c r="D148" s="13" t="s">
        <v>17</v>
      </c>
      <c r="E148">
        <v>88</v>
      </c>
      <c r="F148" s="15">
        <v>101200</v>
      </c>
      <c r="G148" s="14">
        <v>26791.199999999997</v>
      </c>
      <c r="H148" s="14">
        <v>7972.3714285714377</v>
      </c>
      <c r="I148" s="15">
        <v>1150</v>
      </c>
    </row>
    <row r="149" spans="1:9" x14ac:dyDescent="0.3">
      <c r="A149" s="13" t="s">
        <v>8</v>
      </c>
      <c r="B149" s="13" t="s">
        <v>28</v>
      </c>
      <c r="C149" s="13" t="s">
        <v>21</v>
      </c>
      <c r="D149" s="13" t="s">
        <v>11</v>
      </c>
      <c r="E149">
        <v>128</v>
      </c>
      <c r="F149" s="15">
        <v>153600</v>
      </c>
      <c r="G149" s="14">
        <v>45413.16</v>
      </c>
      <c r="H149" s="14">
        <v>5151.7542857142835</v>
      </c>
      <c r="I149" s="15">
        <v>1200</v>
      </c>
    </row>
    <row r="150" spans="1:9" x14ac:dyDescent="0.3">
      <c r="A150" s="13" t="s">
        <v>8</v>
      </c>
      <c r="B150" s="13" t="s">
        <v>28</v>
      </c>
      <c r="C150" s="13" t="s">
        <v>22</v>
      </c>
      <c r="D150" s="13" t="s">
        <v>23</v>
      </c>
      <c r="E150">
        <v>16</v>
      </c>
      <c r="F150" s="15">
        <v>3184</v>
      </c>
      <c r="G150" s="14">
        <v>1694.4</v>
      </c>
      <c r="H150" s="14">
        <v>70.933333333333394</v>
      </c>
      <c r="I150" s="15">
        <v>199</v>
      </c>
    </row>
    <row r="151" spans="1:9" x14ac:dyDescent="0.3">
      <c r="A151" s="13" t="s">
        <v>8</v>
      </c>
      <c r="B151" s="13" t="s">
        <v>28</v>
      </c>
      <c r="C151" s="13" t="s">
        <v>24</v>
      </c>
      <c r="D151" s="13" t="s">
        <v>23</v>
      </c>
      <c r="E151">
        <v>76</v>
      </c>
      <c r="F151" s="15">
        <v>34200</v>
      </c>
      <c r="G151" s="14">
        <v>11761.120000000003</v>
      </c>
      <c r="H151" s="14">
        <v>1068.5180952380942</v>
      </c>
      <c r="I151" s="15">
        <v>450</v>
      </c>
    </row>
    <row r="152" spans="1:9" x14ac:dyDescent="0.3">
      <c r="A152" s="13" t="s">
        <v>8</v>
      </c>
      <c r="B152" s="13" t="s">
        <v>28</v>
      </c>
      <c r="C152" s="13" t="s">
        <v>25</v>
      </c>
      <c r="D152" s="13" t="s">
        <v>23</v>
      </c>
      <c r="E152">
        <v>8</v>
      </c>
      <c r="F152" s="15">
        <v>7200</v>
      </c>
      <c r="G152" s="14">
        <v>3627.04</v>
      </c>
      <c r="H152" s="14">
        <v>545.02779661016939</v>
      </c>
      <c r="I152" s="15">
        <v>900</v>
      </c>
    </row>
    <row r="153" spans="1:9" x14ac:dyDescent="0.3">
      <c r="A153" s="13" t="s">
        <v>8</v>
      </c>
      <c r="B153" s="13" t="s">
        <v>28</v>
      </c>
      <c r="C153" s="13" t="s">
        <v>12</v>
      </c>
      <c r="D153" s="13" t="s">
        <v>11</v>
      </c>
      <c r="E153">
        <v>12</v>
      </c>
      <c r="F153" s="15">
        <v>7200</v>
      </c>
      <c r="G153" s="14">
        <v>1840.2399999999998</v>
      </c>
      <c r="H153" s="14">
        <v>255.22666666666646</v>
      </c>
      <c r="I153" s="15">
        <v>600</v>
      </c>
    </row>
    <row r="154" spans="1:9" x14ac:dyDescent="0.3">
      <c r="A154" s="13" t="s">
        <v>8</v>
      </c>
      <c r="B154" s="13" t="s">
        <v>28</v>
      </c>
      <c r="C154" s="13" t="s">
        <v>13</v>
      </c>
      <c r="D154" s="13" t="s">
        <v>14</v>
      </c>
      <c r="E154">
        <v>24</v>
      </c>
      <c r="F154" s="15">
        <v>9000</v>
      </c>
      <c r="G154" s="14">
        <v>3801.12</v>
      </c>
      <c r="H154" s="14">
        <v>247.56571428571442</v>
      </c>
      <c r="I154" s="15">
        <v>375</v>
      </c>
    </row>
    <row r="155" spans="1:9" x14ac:dyDescent="0.3">
      <c r="A155" s="13" t="s">
        <v>8</v>
      </c>
      <c r="B155" s="13" t="s">
        <v>28</v>
      </c>
      <c r="C155" s="13" t="s">
        <v>15</v>
      </c>
      <c r="D155" s="13" t="s">
        <v>14</v>
      </c>
      <c r="E155">
        <v>4</v>
      </c>
      <c r="F155" s="15">
        <v>660</v>
      </c>
      <c r="G155" s="14">
        <v>301.72000000000003</v>
      </c>
      <c r="H155" s="14">
        <v>17.060952380952415</v>
      </c>
      <c r="I155" s="15">
        <v>165</v>
      </c>
    </row>
    <row r="156" spans="1:9" x14ac:dyDescent="0.3">
      <c r="A156" s="13" t="s">
        <v>8</v>
      </c>
      <c r="B156" s="13" t="s">
        <v>28</v>
      </c>
      <c r="C156" s="13" t="s">
        <v>16</v>
      </c>
      <c r="D156" s="13" t="s">
        <v>17</v>
      </c>
      <c r="E156">
        <v>12</v>
      </c>
      <c r="F156" s="15">
        <v>3588</v>
      </c>
      <c r="G156" s="14">
        <v>500.84000000000015</v>
      </c>
      <c r="H156" s="14">
        <v>330.76714285714297</v>
      </c>
      <c r="I156" s="15">
        <v>299</v>
      </c>
    </row>
    <row r="157" spans="1:9" x14ac:dyDescent="0.3">
      <c r="A157" s="13" t="s">
        <v>8</v>
      </c>
      <c r="B157" s="13" t="s">
        <v>28</v>
      </c>
      <c r="C157" s="13" t="s">
        <v>18</v>
      </c>
      <c r="D157" s="13" t="s">
        <v>17</v>
      </c>
      <c r="E157">
        <v>16</v>
      </c>
      <c r="F157" s="15">
        <v>9200</v>
      </c>
      <c r="G157" s="14">
        <v>2033.8400000000001</v>
      </c>
      <c r="H157" s="14">
        <v>767.80285714285765</v>
      </c>
      <c r="I157" s="15">
        <v>575</v>
      </c>
    </row>
    <row r="158" spans="1:9" x14ac:dyDescent="0.3">
      <c r="A158" s="13" t="s">
        <v>8</v>
      </c>
      <c r="B158" s="13" t="s">
        <v>28</v>
      </c>
      <c r="C158" s="13" t="s">
        <v>19</v>
      </c>
      <c r="D158" s="13" t="s">
        <v>17</v>
      </c>
      <c r="E158">
        <v>452</v>
      </c>
      <c r="F158" s="15">
        <v>519800</v>
      </c>
      <c r="G158" s="14">
        <v>440643.6</v>
      </c>
      <c r="H158" s="14">
        <v>8481.0428571428638</v>
      </c>
      <c r="I158" s="15">
        <v>1150</v>
      </c>
    </row>
    <row r="159" spans="1:9" x14ac:dyDescent="0.3">
      <c r="A159" s="13" t="s">
        <v>8</v>
      </c>
      <c r="B159" s="13" t="s">
        <v>28</v>
      </c>
      <c r="C159" s="13" t="s">
        <v>21</v>
      </c>
      <c r="D159" s="13" t="s">
        <v>11</v>
      </c>
      <c r="E159">
        <v>100</v>
      </c>
      <c r="F159" s="15">
        <v>120000</v>
      </c>
      <c r="G159" s="14">
        <v>34700</v>
      </c>
      <c r="H159" s="14">
        <v>4061.9047619047633</v>
      </c>
      <c r="I159" s="15">
        <v>1200</v>
      </c>
    </row>
    <row r="160" spans="1:9" x14ac:dyDescent="0.3">
      <c r="A160" s="13" t="s">
        <v>8</v>
      </c>
      <c r="B160" s="13" t="s">
        <v>28</v>
      </c>
      <c r="C160" s="13" t="s">
        <v>22</v>
      </c>
      <c r="D160" s="13" t="s">
        <v>23</v>
      </c>
      <c r="E160">
        <v>8</v>
      </c>
      <c r="F160" s="15">
        <v>1592</v>
      </c>
      <c r="G160" s="14">
        <v>400</v>
      </c>
      <c r="H160" s="14">
        <v>56.761904761904816</v>
      </c>
      <c r="I160" s="15">
        <v>199</v>
      </c>
    </row>
    <row r="161" spans="1:9" x14ac:dyDescent="0.3">
      <c r="A161" s="13" t="s">
        <v>8</v>
      </c>
      <c r="B161" s="13" t="s">
        <v>28</v>
      </c>
      <c r="C161" s="13" t="s">
        <v>24</v>
      </c>
      <c r="D161" s="13" t="s">
        <v>23</v>
      </c>
      <c r="E161">
        <v>48</v>
      </c>
      <c r="F161" s="15">
        <v>21600</v>
      </c>
      <c r="G161" s="14">
        <v>7247.6000000000022</v>
      </c>
      <c r="H161" s="14">
        <v>683.44761904761981</v>
      </c>
      <c r="I161" s="15">
        <v>450</v>
      </c>
    </row>
    <row r="162" spans="1:9" x14ac:dyDescent="0.3">
      <c r="A162" s="13" t="s">
        <v>8</v>
      </c>
      <c r="B162" s="13" t="s">
        <v>28</v>
      </c>
      <c r="C162" s="13" t="s">
        <v>26</v>
      </c>
      <c r="D162" s="13" t="s">
        <v>27</v>
      </c>
      <c r="E162">
        <v>4</v>
      </c>
      <c r="F162" s="15">
        <v>9400</v>
      </c>
      <c r="G162" s="14">
        <v>2604</v>
      </c>
      <c r="H162" s="14">
        <v>728.14285714285779</v>
      </c>
      <c r="I162" s="15">
        <v>2350</v>
      </c>
    </row>
    <row r="163" spans="1:9" x14ac:dyDescent="0.3">
      <c r="A163" s="13" t="s">
        <v>8</v>
      </c>
      <c r="B163" s="13" t="s">
        <v>28</v>
      </c>
      <c r="C163" s="13" t="s">
        <v>12</v>
      </c>
      <c r="D163" s="13" t="s">
        <v>11</v>
      </c>
      <c r="E163">
        <v>28</v>
      </c>
      <c r="F163" s="15">
        <v>16800</v>
      </c>
      <c r="G163" s="14">
        <v>4896.5200000000004</v>
      </c>
      <c r="H163" s="14">
        <v>566.83238095238084</v>
      </c>
      <c r="I163" s="15">
        <v>600</v>
      </c>
    </row>
    <row r="164" spans="1:9" x14ac:dyDescent="0.3">
      <c r="A164" s="13" t="s">
        <v>8</v>
      </c>
      <c r="B164" s="13" t="s">
        <v>28</v>
      </c>
      <c r="C164" s="13" t="s">
        <v>13</v>
      </c>
      <c r="D164" s="13" t="s">
        <v>14</v>
      </c>
      <c r="E164">
        <v>20</v>
      </c>
      <c r="F164" s="15">
        <v>7500</v>
      </c>
      <c r="G164" s="14">
        <v>3522.76</v>
      </c>
      <c r="H164" s="14">
        <v>189.39238095238125</v>
      </c>
      <c r="I164" s="15">
        <v>375</v>
      </c>
    </row>
    <row r="165" spans="1:9" x14ac:dyDescent="0.3">
      <c r="A165" s="13" t="s">
        <v>8</v>
      </c>
      <c r="B165" s="13" t="s">
        <v>28</v>
      </c>
      <c r="C165" s="13" t="s">
        <v>15</v>
      </c>
      <c r="D165" s="13" t="s">
        <v>14</v>
      </c>
      <c r="E165">
        <v>4</v>
      </c>
      <c r="F165" s="15">
        <v>660</v>
      </c>
      <c r="G165" s="14">
        <v>144</v>
      </c>
      <c r="H165" s="14">
        <v>24.571428571428612</v>
      </c>
      <c r="I165" s="15">
        <v>165</v>
      </c>
    </row>
    <row r="166" spans="1:9" x14ac:dyDescent="0.3">
      <c r="A166" s="13" t="s">
        <v>8</v>
      </c>
      <c r="B166" s="13" t="s">
        <v>28</v>
      </c>
      <c r="C166" s="13" t="s">
        <v>18</v>
      </c>
      <c r="D166" s="13" t="s">
        <v>17</v>
      </c>
      <c r="E166">
        <v>48</v>
      </c>
      <c r="F166" s="15">
        <v>27600</v>
      </c>
      <c r="G166" s="14">
        <v>8020.0800000000017</v>
      </c>
      <c r="H166" s="14">
        <v>2097.8485714285744</v>
      </c>
      <c r="I166" s="15">
        <v>575</v>
      </c>
    </row>
    <row r="167" spans="1:9" x14ac:dyDescent="0.3">
      <c r="A167" s="13" t="s">
        <v>8</v>
      </c>
      <c r="B167" s="13" t="s">
        <v>28</v>
      </c>
      <c r="C167" s="13" t="s">
        <v>19</v>
      </c>
      <c r="D167" s="13" t="s">
        <v>17</v>
      </c>
      <c r="E167">
        <v>396</v>
      </c>
      <c r="F167" s="15">
        <v>455400</v>
      </c>
      <c r="G167" s="14">
        <v>338755.5199999999</v>
      </c>
      <c r="H167" s="14">
        <v>12497.62285714288</v>
      </c>
      <c r="I167" s="15">
        <v>1150</v>
      </c>
    </row>
    <row r="168" spans="1:9" x14ac:dyDescent="0.3">
      <c r="A168" s="13" t="s">
        <v>8</v>
      </c>
      <c r="B168" s="13" t="s">
        <v>28</v>
      </c>
      <c r="C168" s="13" t="s">
        <v>20</v>
      </c>
      <c r="D168" s="13" t="s">
        <v>14</v>
      </c>
      <c r="E168">
        <v>20</v>
      </c>
      <c r="F168" s="15">
        <v>15000</v>
      </c>
      <c r="G168" s="14">
        <v>9229.119999999999</v>
      </c>
      <c r="H168" s="14">
        <v>274.80380952380983</v>
      </c>
      <c r="I168" s="15">
        <v>750</v>
      </c>
    </row>
    <row r="169" spans="1:9" x14ac:dyDescent="0.3">
      <c r="A169" s="13" t="s">
        <v>8</v>
      </c>
      <c r="B169" s="13" t="s">
        <v>28</v>
      </c>
      <c r="C169" s="13" t="s">
        <v>21</v>
      </c>
      <c r="D169" s="13" t="s">
        <v>11</v>
      </c>
      <c r="E169">
        <v>620</v>
      </c>
      <c r="F169" s="15">
        <v>744000</v>
      </c>
      <c r="G169" s="14">
        <v>321790.52000000025</v>
      </c>
      <c r="H169" s="14">
        <v>20105.213333333319</v>
      </c>
      <c r="I169" s="15">
        <v>1200</v>
      </c>
    </row>
    <row r="170" spans="1:9" x14ac:dyDescent="0.3">
      <c r="A170" s="13" t="s">
        <v>8</v>
      </c>
      <c r="B170" s="13" t="s">
        <v>28</v>
      </c>
      <c r="C170" s="13" t="s">
        <v>22</v>
      </c>
      <c r="D170" s="13" t="s">
        <v>23</v>
      </c>
      <c r="E170">
        <v>12</v>
      </c>
      <c r="F170" s="15">
        <v>2388</v>
      </c>
      <c r="G170" s="14">
        <v>848.40000000000009</v>
      </c>
      <c r="H170" s="14">
        <v>73.314285714285688</v>
      </c>
      <c r="I170" s="15">
        <v>199</v>
      </c>
    </row>
    <row r="171" spans="1:9" x14ac:dyDescent="0.3">
      <c r="A171" s="13" t="s">
        <v>8</v>
      </c>
      <c r="B171" s="13" t="s">
        <v>28</v>
      </c>
      <c r="C171" s="13" t="s">
        <v>24</v>
      </c>
      <c r="D171" s="13" t="s">
        <v>23</v>
      </c>
      <c r="E171">
        <v>60</v>
      </c>
      <c r="F171" s="15">
        <v>27000</v>
      </c>
      <c r="G171" s="14">
        <v>9733.5200000000041</v>
      </c>
      <c r="H171" s="14">
        <v>822.21333333333314</v>
      </c>
      <c r="I171" s="15">
        <v>450</v>
      </c>
    </row>
    <row r="172" spans="1:9" x14ac:dyDescent="0.3">
      <c r="A172" s="13" t="s">
        <v>8</v>
      </c>
      <c r="B172" s="13" t="s">
        <v>28</v>
      </c>
      <c r="C172" s="13" t="s">
        <v>10</v>
      </c>
      <c r="D172" s="13" t="s">
        <v>11</v>
      </c>
      <c r="E172">
        <v>16</v>
      </c>
      <c r="F172" s="15">
        <v>5360</v>
      </c>
      <c r="G172" s="14">
        <v>2331.44</v>
      </c>
      <c r="H172" s="14">
        <v>144.21714285714279</v>
      </c>
      <c r="I172" s="15">
        <v>335</v>
      </c>
    </row>
    <row r="173" spans="1:9" x14ac:dyDescent="0.3">
      <c r="A173" s="13" t="s">
        <v>8</v>
      </c>
      <c r="B173" s="13" t="s">
        <v>28</v>
      </c>
      <c r="C173" s="13" t="s">
        <v>12</v>
      </c>
      <c r="D173" s="13" t="s">
        <v>11</v>
      </c>
      <c r="E173">
        <v>92</v>
      </c>
      <c r="F173" s="15">
        <v>55200</v>
      </c>
      <c r="G173" s="14">
        <v>21487.640000000007</v>
      </c>
      <c r="H173" s="14">
        <v>1605.3504761904769</v>
      </c>
      <c r="I173" s="15">
        <v>600</v>
      </c>
    </row>
    <row r="174" spans="1:9" x14ac:dyDescent="0.3">
      <c r="A174" s="13" t="s">
        <v>8</v>
      </c>
      <c r="B174" s="13" t="s">
        <v>28</v>
      </c>
      <c r="C174" s="13" t="s">
        <v>13</v>
      </c>
      <c r="D174" s="13" t="s">
        <v>14</v>
      </c>
      <c r="E174">
        <v>56</v>
      </c>
      <c r="F174" s="15">
        <v>21000</v>
      </c>
      <c r="G174" s="14">
        <v>10564.960000000003</v>
      </c>
      <c r="H174" s="14">
        <v>496.90666666666766</v>
      </c>
      <c r="I174" s="15">
        <v>375</v>
      </c>
    </row>
    <row r="175" spans="1:9" x14ac:dyDescent="0.3">
      <c r="A175" s="13" t="s">
        <v>8</v>
      </c>
      <c r="B175" s="13" t="s">
        <v>28</v>
      </c>
      <c r="C175" s="13" t="s">
        <v>18</v>
      </c>
      <c r="D175" s="13" t="s">
        <v>17</v>
      </c>
      <c r="E175">
        <v>116</v>
      </c>
      <c r="F175" s="15">
        <v>66700</v>
      </c>
      <c r="G175" s="14">
        <v>24260.92</v>
      </c>
      <c r="H175" s="14">
        <v>4547.0442857142916</v>
      </c>
      <c r="I175" s="15">
        <v>575</v>
      </c>
    </row>
    <row r="176" spans="1:9" x14ac:dyDescent="0.3">
      <c r="A176" s="13" t="s">
        <v>8</v>
      </c>
      <c r="B176" s="13" t="s">
        <v>28</v>
      </c>
      <c r="C176" s="13" t="s">
        <v>19</v>
      </c>
      <c r="D176" s="13" t="s">
        <v>17</v>
      </c>
      <c r="E176">
        <v>1096</v>
      </c>
      <c r="F176" s="15">
        <v>1260400</v>
      </c>
      <c r="G176" s="14">
        <v>509912.95999999961</v>
      </c>
      <c r="H176" s="14">
        <v>80409.325714285835</v>
      </c>
      <c r="I176" s="15">
        <v>1150</v>
      </c>
    </row>
    <row r="177" spans="1:9" x14ac:dyDescent="0.3">
      <c r="A177" s="13" t="s">
        <v>8</v>
      </c>
      <c r="B177" s="13" t="s">
        <v>28</v>
      </c>
      <c r="C177" s="13" t="s">
        <v>20</v>
      </c>
      <c r="D177" s="13" t="s">
        <v>14</v>
      </c>
      <c r="E177">
        <v>84</v>
      </c>
      <c r="F177" s="15">
        <v>63000</v>
      </c>
      <c r="G177" s="14">
        <v>38427.240000000005</v>
      </c>
      <c r="H177" s="14">
        <v>1170.1314285714288</v>
      </c>
      <c r="I177" s="15">
        <v>750</v>
      </c>
    </row>
    <row r="178" spans="1:9" x14ac:dyDescent="0.3">
      <c r="A178" s="13" t="s">
        <v>8</v>
      </c>
      <c r="B178" s="13" t="s">
        <v>28</v>
      </c>
      <c r="C178" s="13" t="s">
        <v>21</v>
      </c>
      <c r="D178" s="13" t="s">
        <v>11</v>
      </c>
      <c r="E178">
        <v>3392</v>
      </c>
      <c r="F178" s="15">
        <v>4070400</v>
      </c>
      <c r="G178" s="14">
        <v>1836474.5199999809</v>
      </c>
      <c r="H178" s="14">
        <v>106377.40380952461</v>
      </c>
      <c r="I178" s="15">
        <v>1200</v>
      </c>
    </row>
    <row r="179" spans="1:9" x14ac:dyDescent="0.3">
      <c r="A179" s="13" t="s">
        <v>8</v>
      </c>
      <c r="B179" s="13" t="s">
        <v>28</v>
      </c>
      <c r="C179" s="13" t="s">
        <v>22</v>
      </c>
      <c r="D179" s="13" t="s">
        <v>23</v>
      </c>
      <c r="E179">
        <v>4</v>
      </c>
      <c r="F179" s="15">
        <v>796</v>
      </c>
      <c r="G179" s="14">
        <v>400</v>
      </c>
      <c r="H179" s="14">
        <v>18.85714285714289</v>
      </c>
      <c r="I179" s="15">
        <v>199</v>
      </c>
    </row>
    <row r="180" spans="1:9" x14ac:dyDescent="0.3">
      <c r="A180" s="13" t="s">
        <v>8</v>
      </c>
      <c r="B180" s="13" t="s">
        <v>28</v>
      </c>
      <c r="C180" s="13" t="s">
        <v>24</v>
      </c>
      <c r="D180" s="13" t="s">
        <v>23</v>
      </c>
      <c r="E180">
        <v>264</v>
      </c>
      <c r="F180" s="15">
        <v>118800</v>
      </c>
      <c r="G180" s="14">
        <v>61853.92000000002</v>
      </c>
      <c r="H180" s="14">
        <v>2711.718095238095</v>
      </c>
      <c r="I180" s="15">
        <v>450</v>
      </c>
    </row>
    <row r="181" spans="1:9" x14ac:dyDescent="0.3">
      <c r="A181" s="13" t="s">
        <v>8</v>
      </c>
      <c r="B181" s="13" t="s">
        <v>28</v>
      </c>
      <c r="C181" s="13" t="s">
        <v>25</v>
      </c>
      <c r="D181" s="13" t="s">
        <v>23</v>
      </c>
      <c r="E181">
        <v>36</v>
      </c>
      <c r="F181" s="15">
        <v>32400</v>
      </c>
      <c r="G181" s="14">
        <v>18264.320000000003</v>
      </c>
      <c r="H181" s="14">
        <v>2156.2901694915236</v>
      </c>
      <c r="I181" s="15">
        <v>900</v>
      </c>
    </row>
    <row r="182" spans="1:9" x14ac:dyDescent="0.3">
      <c r="A182" s="13" t="s">
        <v>8</v>
      </c>
      <c r="B182" s="13" t="s">
        <v>28</v>
      </c>
      <c r="C182" s="13" t="s">
        <v>10</v>
      </c>
      <c r="D182" s="13" t="s">
        <v>11</v>
      </c>
      <c r="E182">
        <v>8</v>
      </c>
      <c r="F182" s="15">
        <v>2680</v>
      </c>
      <c r="G182" s="14">
        <v>1242.08</v>
      </c>
      <c r="H182" s="14">
        <v>68.472380952380945</v>
      </c>
      <c r="I182" s="15">
        <v>335</v>
      </c>
    </row>
    <row r="183" spans="1:9" x14ac:dyDescent="0.3">
      <c r="A183" s="13" t="s">
        <v>8</v>
      </c>
      <c r="B183" s="13" t="s">
        <v>28</v>
      </c>
      <c r="C183" s="13" t="s">
        <v>12</v>
      </c>
      <c r="D183" s="13" t="s">
        <v>11</v>
      </c>
      <c r="E183">
        <v>144</v>
      </c>
      <c r="F183" s="15">
        <v>86400</v>
      </c>
      <c r="G183" s="14">
        <v>35014.559999999998</v>
      </c>
      <c r="H183" s="14">
        <v>2446.9257142857168</v>
      </c>
      <c r="I183" s="15">
        <v>600</v>
      </c>
    </row>
    <row r="184" spans="1:9" x14ac:dyDescent="0.3">
      <c r="A184" s="13" t="s">
        <v>8</v>
      </c>
      <c r="B184" s="13" t="s">
        <v>28</v>
      </c>
      <c r="C184" s="13" t="s">
        <v>13</v>
      </c>
      <c r="D184" s="13" t="s">
        <v>14</v>
      </c>
      <c r="E184">
        <v>104</v>
      </c>
      <c r="F184" s="15">
        <v>39000</v>
      </c>
      <c r="G184" s="14">
        <v>23765.48</v>
      </c>
      <c r="H184" s="14">
        <v>725.45333333333474</v>
      </c>
      <c r="I184" s="15">
        <v>375</v>
      </c>
    </row>
    <row r="185" spans="1:9" x14ac:dyDescent="0.3">
      <c r="A185" s="13" t="s">
        <v>8</v>
      </c>
      <c r="B185" s="13" t="s">
        <v>28</v>
      </c>
      <c r="C185" s="13" t="s">
        <v>15</v>
      </c>
      <c r="D185" s="13" t="s">
        <v>14</v>
      </c>
      <c r="E185">
        <v>24</v>
      </c>
      <c r="F185" s="15">
        <v>3960</v>
      </c>
      <c r="G185" s="14">
        <v>1680.96</v>
      </c>
      <c r="H185" s="14">
        <v>108.52571428571446</v>
      </c>
      <c r="I185" s="15">
        <v>165</v>
      </c>
    </row>
    <row r="186" spans="1:9" x14ac:dyDescent="0.3">
      <c r="A186" s="13" t="s">
        <v>8</v>
      </c>
      <c r="B186" s="13" t="s">
        <v>28</v>
      </c>
      <c r="C186" s="13" t="s">
        <v>16</v>
      </c>
      <c r="D186" s="13" t="s">
        <v>17</v>
      </c>
      <c r="E186">
        <v>12</v>
      </c>
      <c r="F186" s="15">
        <v>3588</v>
      </c>
      <c r="G186" s="14">
        <v>1051.6800000000039</v>
      </c>
      <c r="H186" s="14">
        <v>271.74857142857127</v>
      </c>
      <c r="I186" s="15">
        <v>299</v>
      </c>
    </row>
    <row r="187" spans="1:9" x14ac:dyDescent="0.3">
      <c r="A187" s="13" t="s">
        <v>8</v>
      </c>
      <c r="B187" s="13" t="s">
        <v>28</v>
      </c>
      <c r="C187" s="13" t="s">
        <v>18</v>
      </c>
      <c r="D187" s="13" t="s">
        <v>17</v>
      </c>
      <c r="E187">
        <v>152</v>
      </c>
      <c r="F187" s="15">
        <v>87400</v>
      </c>
      <c r="G187" s="14">
        <v>31814.639999999992</v>
      </c>
      <c r="H187" s="14">
        <v>5955.5742857142905</v>
      </c>
      <c r="I187" s="15">
        <v>575</v>
      </c>
    </row>
    <row r="188" spans="1:9" x14ac:dyDescent="0.3">
      <c r="A188" s="13" t="s">
        <v>8</v>
      </c>
      <c r="B188" s="13" t="s">
        <v>28</v>
      </c>
      <c r="C188" s="13" t="s">
        <v>19</v>
      </c>
      <c r="D188" s="13" t="s">
        <v>17</v>
      </c>
      <c r="E188">
        <v>520</v>
      </c>
      <c r="F188" s="15">
        <v>598000</v>
      </c>
      <c r="G188" s="14">
        <v>218376.44000000105</v>
      </c>
      <c r="H188" s="14">
        <v>40673.95285714278</v>
      </c>
      <c r="I188" s="15">
        <v>1150</v>
      </c>
    </row>
    <row r="189" spans="1:9" x14ac:dyDescent="0.3">
      <c r="A189" s="13" t="s">
        <v>8</v>
      </c>
      <c r="B189" s="13" t="s">
        <v>28</v>
      </c>
      <c r="C189" s="13" t="s">
        <v>20</v>
      </c>
      <c r="D189" s="13" t="s">
        <v>14</v>
      </c>
      <c r="E189">
        <v>72</v>
      </c>
      <c r="F189" s="15">
        <v>54000</v>
      </c>
      <c r="G189" s="14">
        <v>32656.320000000007</v>
      </c>
      <c r="H189" s="14">
        <v>1016.3657142857155</v>
      </c>
      <c r="I189" s="15">
        <v>750</v>
      </c>
    </row>
    <row r="190" spans="1:9" x14ac:dyDescent="0.3">
      <c r="A190" s="13" t="s">
        <v>8</v>
      </c>
      <c r="B190" s="13" t="s">
        <v>28</v>
      </c>
      <c r="C190" s="13" t="s">
        <v>21</v>
      </c>
      <c r="D190" s="13" t="s">
        <v>11</v>
      </c>
      <c r="E190">
        <v>1072</v>
      </c>
      <c r="F190" s="15">
        <v>1286400</v>
      </c>
      <c r="G190" s="14">
        <v>522749.67999999854</v>
      </c>
      <c r="H190" s="14">
        <v>36364.300952381105</v>
      </c>
      <c r="I190" s="15">
        <v>1200</v>
      </c>
    </row>
    <row r="191" spans="1:9" x14ac:dyDescent="0.3">
      <c r="A191" s="13" t="s">
        <v>8</v>
      </c>
      <c r="B191" s="13" t="s">
        <v>28</v>
      </c>
      <c r="C191" s="13" t="s">
        <v>22</v>
      </c>
      <c r="D191" s="13" t="s">
        <v>23</v>
      </c>
      <c r="E191">
        <v>12</v>
      </c>
      <c r="F191" s="15">
        <v>2388</v>
      </c>
      <c r="G191" s="14">
        <v>1261</v>
      </c>
      <c r="H191" s="14">
        <v>53.666666666666742</v>
      </c>
      <c r="I191" s="15">
        <v>199</v>
      </c>
    </row>
    <row r="192" spans="1:9" x14ac:dyDescent="0.3">
      <c r="A192" s="13" t="s">
        <v>8</v>
      </c>
      <c r="B192" s="13" t="s">
        <v>28</v>
      </c>
      <c r="C192" s="13" t="s">
        <v>24</v>
      </c>
      <c r="D192" s="13" t="s">
        <v>23</v>
      </c>
      <c r="E192">
        <v>196</v>
      </c>
      <c r="F192" s="15">
        <v>88200</v>
      </c>
      <c r="G192" s="14">
        <v>46768.320000000022</v>
      </c>
      <c r="H192" s="14">
        <v>1972.9371428571467</v>
      </c>
      <c r="I192" s="15">
        <v>450</v>
      </c>
    </row>
    <row r="193" spans="1:9" x14ac:dyDescent="0.3">
      <c r="A193" s="13" t="s">
        <v>8</v>
      </c>
      <c r="B193" s="13" t="s">
        <v>28</v>
      </c>
      <c r="C193" s="13" t="s">
        <v>25</v>
      </c>
      <c r="D193" s="13" t="s">
        <v>23</v>
      </c>
      <c r="E193">
        <v>36</v>
      </c>
      <c r="F193" s="15">
        <v>32400</v>
      </c>
      <c r="G193" s="14">
        <v>18199</v>
      </c>
      <c r="H193" s="14">
        <v>2166.2542372881344</v>
      </c>
      <c r="I193" s="15">
        <v>900</v>
      </c>
    </row>
    <row r="194" spans="1:9" x14ac:dyDescent="0.3">
      <c r="A194" s="13" t="s">
        <v>8</v>
      </c>
      <c r="B194" s="13" t="s">
        <v>28</v>
      </c>
      <c r="C194" s="13" t="s">
        <v>10</v>
      </c>
      <c r="D194" s="13" t="s">
        <v>11</v>
      </c>
      <c r="E194">
        <v>28</v>
      </c>
      <c r="F194" s="15">
        <v>9380</v>
      </c>
      <c r="G194" s="14">
        <v>4135.6000000000004</v>
      </c>
      <c r="H194" s="14">
        <v>249.73333333333358</v>
      </c>
      <c r="I194" s="15">
        <v>335</v>
      </c>
    </row>
    <row r="195" spans="1:9" x14ac:dyDescent="0.3">
      <c r="A195" s="13" t="s">
        <v>8</v>
      </c>
      <c r="B195" s="13" t="s">
        <v>28</v>
      </c>
      <c r="C195" s="13" t="s">
        <v>12</v>
      </c>
      <c r="D195" s="13" t="s">
        <v>11</v>
      </c>
      <c r="E195">
        <v>248</v>
      </c>
      <c r="F195" s="15">
        <v>148800</v>
      </c>
      <c r="G195" s="14">
        <v>61205.639999999985</v>
      </c>
      <c r="H195" s="14">
        <v>4171.1600000000035</v>
      </c>
      <c r="I195" s="15">
        <v>600</v>
      </c>
    </row>
    <row r="196" spans="1:9" x14ac:dyDescent="0.3">
      <c r="A196" s="13" t="s">
        <v>8</v>
      </c>
      <c r="B196" s="13" t="s">
        <v>28</v>
      </c>
      <c r="C196" s="13" t="s">
        <v>13</v>
      </c>
      <c r="D196" s="13" t="s">
        <v>14</v>
      </c>
      <c r="E196">
        <v>44</v>
      </c>
      <c r="F196" s="15">
        <v>16500</v>
      </c>
      <c r="G196" s="14">
        <v>8313.68</v>
      </c>
      <c r="H196" s="14">
        <v>389.82476190476245</v>
      </c>
      <c r="I196" s="15">
        <v>375</v>
      </c>
    </row>
    <row r="197" spans="1:9" x14ac:dyDescent="0.3">
      <c r="A197" s="13" t="s">
        <v>8</v>
      </c>
      <c r="B197" s="13" t="s">
        <v>28</v>
      </c>
      <c r="C197" s="13" t="s">
        <v>15</v>
      </c>
      <c r="D197" s="13" t="s">
        <v>14</v>
      </c>
      <c r="E197">
        <v>4</v>
      </c>
      <c r="F197" s="15">
        <v>660</v>
      </c>
      <c r="G197" s="14">
        <v>304</v>
      </c>
      <c r="H197" s="14">
        <v>16.952380952380963</v>
      </c>
      <c r="I197" s="15">
        <v>165</v>
      </c>
    </row>
    <row r="198" spans="1:9" x14ac:dyDescent="0.3">
      <c r="A198" s="13" t="s">
        <v>8</v>
      </c>
      <c r="B198" s="13" t="s">
        <v>28</v>
      </c>
      <c r="C198" s="13" t="s">
        <v>16</v>
      </c>
      <c r="D198" s="13" t="s">
        <v>17</v>
      </c>
      <c r="E198">
        <v>12</v>
      </c>
      <c r="F198" s="15">
        <v>3588</v>
      </c>
      <c r="G198" s="14">
        <v>1061.8400000000001</v>
      </c>
      <c r="H198" s="14">
        <v>270.66000000000031</v>
      </c>
      <c r="I198" s="15">
        <v>299</v>
      </c>
    </row>
    <row r="199" spans="1:9" x14ac:dyDescent="0.3">
      <c r="A199" s="13" t="s">
        <v>8</v>
      </c>
      <c r="B199" s="13" t="s">
        <v>28</v>
      </c>
      <c r="C199" s="13" t="s">
        <v>18</v>
      </c>
      <c r="D199" s="13" t="s">
        <v>17</v>
      </c>
      <c r="E199">
        <v>296</v>
      </c>
      <c r="F199" s="15">
        <v>170200</v>
      </c>
      <c r="G199" s="14">
        <v>62335.959999999948</v>
      </c>
      <c r="H199" s="14">
        <v>11556.861428571443</v>
      </c>
      <c r="I199" s="15">
        <v>575</v>
      </c>
    </row>
    <row r="200" spans="1:9" x14ac:dyDescent="0.3">
      <c r="A200" s="13" t="s">
        <v>8</v>
      </c>
      <c r="B200" s="13" t="s">
        <v>28</v>
      </c>
      <c r="C200" s="13" t="s">
        <v>19</v>
      </c>
      <c r="D200" s="13" t="s">
        <v>17</v>
      </c>
      <c r="E200">
        <v>748</v>
      </c>
      <c r="F200" s="15">
        <v>860200</v>
      </c>
      <c r="G200" s="14">
        <v>306727.96000000229</v>
      </c>
      <c r="H200" s="14">
        <v>59300.575714285544</v>
      </c>
      <c r="I200" s="15">
        <v>1150</v>
      </c>
    </row>
    <row r="201" spans="1:9" x14ac:dyDescent="0.3">
      <c r="A201" s="13" t="s">
        <v>8</v>
      </c>
      <c r="B201" s="13" t="s">
        <v>28</v>
      </c>
      <c r="C201" s="13" t="s">
        <v>20</v>
      </c>
      <c r="D201" s="13" t="s">
        <v>14</v>
      </c>
      <c r="E201">
        <v>160</v>
      </c>
      <c r="F201" s="15">
        <v>120000</v>
      </c>
      <c r="G201" s="14">
        <v>73014.760000000009</v>
      </c>
      <c r="H201" s="14">
        <v>2237.392380952384</v>
      </c>
      <c r="I201" s="15">
        <v>750</v>
      </c>
    </row>
    <row r="202" spans="1:9" x14ac:dyDescent="0.3">
      <c r="A202" s="13" t="s">
        <v>8</v>
      </c>
      <c r="B202" s="13" t="s">
        <v>28</v>
      </c>
      <c r="C202" s="13" t="s">
        <v>21</v>
      </c>
      <c r="D202" s="13" t="s">
        <v>11</v>
      </c>
      <c r="E202">
        <v>924</v>
      </c>
      <c r="F202" s="15">
        <v>1108800</v>
      </c>
      <c r="G202" s="14">
        <v>444657.11999999976</v>
      </c>
      <c r="H202" s="14">
        <v>31625.851428571506</v>
      </c>
      <c r="I202" s="15">
        <v>1200</v>
      </c>
    </row>
    <row r="203" spans="1:9" x14ac:dyDescent="0.3">
      <c r="A203" s="13" t="s">
        <v>8</v>
      </c>
      <c r="B203" s="13" t="s">
        <v>28</v>
      </c>
      <c r="C203" s="13" t="s">
        <v>22</v>
      </c>
      <c r="D203" s="13" t="s">
        <v>23</v>
      </c>
      <c r="E203">
        <v>4</v>
      </c>
      <c r="F203" s="15">
        <v>796</v>
      </c>
      <c r="G203" s="14">
        <v>419.04</v>
      </c>
      <c r="H203" s="14">
        <v>17.950476190476195</v>
      </c>
      <c r="I203" s="15">
        <v>199</v>
      </c>
    </row>
    <row r="204" spans="1:9" x14ac:dyDescent="0.3">
      <c r="A204" s="13" t="s">
        <v>8</v>
      </c>
      <c r="B204" s="13" t="s">
        <v>28</v>
      </c>
      <c r="C204" s="13" t="s">
        <v>24</v>
      </c>
      <c r="D204" s="13" t="s">
        <v>23</v>
      </c>
      <c r="E204">
        <v>184</v>
      </c>
      <c r="F204" s="15">
        <v>82800</v>
      </c>
      <c r="G204" s="14">
        <v>44120.720000000008</v>
      </c>
      <c r="H204" s="14">
        <v>1841.8704761904737</v>
      </c>
      <c r="I204" s="15">
        <v>450</v>
      </c>
    </row>
    <row r="205" spans="1:9" x14ac:dyDescent="0.3">
      <c r="A205" s="13" t="s">
        <v>8</v>
      </c>
      <c r="B205" s="13" t="s">
        <v>28</v>
      </c>
      <c r="C205" s="13" t="s">
        <v>25</v>
      </c>
      <c r="D205" s="13" t="s">
        <v>23</v>
      </c>
      <c r="E205">
        <v>28</v>
      </c>
      <c r="F205" s="15">
        <v>25200</v>
      </c>
      <c r="G205" s="14">
        <v>14343.52</v>
      </c>
      <c r="H205" s="14">
        <v>1656.0732203389816</v>
      </c>
      <c r="I205" s="15">
        <v>900</v>
      </c>
    </row>
    <row r="206" spans="1:9" x14ac:dyDescent="0.3">
      <c r="A206" s="13" t="s">
        <v>8</v>
      </c>
      <c r="B206" s="13" t="s">
        <v>28</v>
      </c>
      <c r="C206" s="13" t="s">
        <v>10</v>
      </c>
      <c r="D206" s="13" t="s">
        <v>11</v>
      </c>
      <c r="E206">
        <v>20</v>
      </c>
      <c r="F206" s="15">
        <v>6700</v>
      </c>
      <c r="G206" s="14">
        <v>2845.12</v>
      </c>
      <c r="H206" s="14">
        <v>183.56571428571442</v>
      </c>
      <c r="I206" s="15">
        <v>335</v>
      </c>
    </row>
    <row r="207" spans="1:9" x14ac:dyDescent="0.3">
      <c r="A207" s="13" t="s">
        <v>8</v>
      </c>
      <c r="B207" s="13" t="s">
        <v>28</v>
      </c>
      <c r="C207" s="13" t="s">
        <v>12</v>
      </c>
      <c r="D207" s="13" t="s">
        <v>11</v>
      </c>
      <c r="E207">
        <v>116</v>
      </c>
      <c r="F207" s="15">
        <v>69600</v>
      </c>
      <c r="G207" s="14">
        <v>26987.480000000003</v>
      </c>
      <c r="H207" s="14">
        <v>2029.167619047621</v>
      </c>
      <c r="I207" s="15">
        <v>600</v>
      </c>
    </row>
    <row r="208" spans="1:9" x14ac:dyDescent="0.3">
      <c r="A208" s="13" t="s">
        <v>8</v>
      </c>
      <c r="B208" s="13" t="s">
        <v>28</v>
      </c>
      <c r="C208" s="13" t="s">
        <v>13</v>
      </c>
      <c r="D208" s="13" t="s">
        <v>14</v>
      </c>
      <c r="E208">
        <v>880</v>
      </c>
      <c r="F208" s="15">
        <v>330000</v>
      </c>
      <c r="G208" s="14">
        <v>228675.19999999987</v>
      </c>
      <c r="H208" s="14">
        <v>4824.9904761904909</v>
      </c>
      <c r="I208" s="15">
        <v>375</v>
      </c>
    </row>
    <row r="209" spans="1:9" x14ac:dyDescent="0.3">
      <c r="A209" s="13" t="s">
        <v>8</v>
      </c>
      <c r="B209" s="13" t="s">
        <v>28</v>
      </c>
      <c r="C209" s="13" t="s">
        <v>18</v>
      </c>
      <c r="D209" s="13" t="s">
        <v>17</v>
      </c>
      <c r="E209">
        <v>140</v>
      </c>
      <c r="F209" s="15">
        <v>80500</v>
      </c>
      <c r="G209" s="14">
        <v>27397.87999999999</v>
      </c>
      <c r="H209" s="14">
        <v>5689.512857142865</v>
      </c>
      <c r="I209" s="15">
        <v>575</v>
      </c>
    </row>
    <row r="210" spans="1:9" x14ac:dyDescent="0.3">
      <c r="A210" s="13" t="s">
        <v>8</v>
      </c>
      <c r="B210" s="13" t="s">
        <v>28</v>
      </c>
      <c r="C210" s="13" t="s">
        <v>19</v>
      </c>
      <c r="D210" s="13" t="s">
        <v>17</v>
      </c>
      <c r="E210">
        <v>368</v>
      </c>
      <c r="F210" s="15">
        <v>423200</v>
      </c>
      <c r="G210" s="14">
        <v>152134.83999999997</v>
      </c>
      <c r="H210" s="14">
        <v>29042.695714285743</v>
      </c>
      <c r="I210" s="15">
        <v>1150</v>
      </c>
    </row>
    <row r="211" spans="1:9" x14ac:dyDescent="0.3">
      <c r="A211" s="13" t="s">
        <v>8</v>
      </c>
      <c r="B211" s="13" t="s">
        <v>28</v>
      </c>
      <c r="C211" s="13" t="s">
        <v>20</v>
      </c>
      <c r="D211" s="13" t="s">
        <v>14</v>
      </c>
      <c r="E211">
        <v>36</v>
      </c>
      <c r="F211" s="15">
        <v>27000</v>
      </c>
      <c r="G211" s="14">
        <v>15139.64</v>
      </c>
      <c r="H211" s="14">
        <v>564.77904761904756</v>
      </c>
      <c r="I211" s="15">
        <v>750</v>
      </c>
    </row>
    <row r="212" spans="1:9" x14ac:dyDescent="0.3">
      <c r="A212" s="13" t="s">
        <v>8</v>
      </c>
      <c r="B212" s="13" t="s">
        <v>28</v>
      </c>
      <c r="C212" s="13" t="s">
        <v>21</v>
      </c>
      <c r="D212" s="13" t="s">
        <v>11</v>
      </c>
      <c r="E212">
        <v>1104</v>
      </c>
      <c r="F212" s="15">
        <v>1324800</v>
      </c>
      <c r="G212" s="14">
        <v>536266.99999999849</v>
      </c>
      <c r="H212" s="14">
        <v>37549.190476190532</v>
      </c>
      <c r="I212" s="15">
        <v>1200</v>
      </c>
    </row>
    <row r="213" spans="1:9" x14ac:dyDescent="0.3">
      <c r="A213" s="13" t="s">
        <v>8</v>
      </c>
      <c r="B213" s="13" t="s">
        <v>28</v>
      </c>
      <c r="C213" s="13" t="s">
        <v>22</v>
      </c>
      <c r="D213" s="13" t="s">
        <v>23</v>
      </c>
      <c r="E213">
        <v>8</v>
      </c>
      <c r="F213" s="15">
        <v>1592</v>
      </c>
      <c r="G213" s="14">
        <v>619.04</v>
      </c>
      <c r="H213" s="14">
        <v>46.33142857142866</v>
      </c>
      <c r="I213" s="15">
        <v>199</v>
      </c>
    </row>
    <row r="214" spans="1:9" x14ac:dyDescent="0.3">
      <c r="A214" s="13" t="s">
        <v>8</v>
      </c>
      <c r="B214" s="13" t="s">
        <v>28</v>
      </c>
      <c r="C214" s="13" t="s">
        <v>24</v>
      </c>
      <c r="D214" s="13" t="s">
        <v>23</v>
      </c>
      <c r="E214">
        <v>176</v>
      </c>
      <c r="F214" s="15">
        <v>79200</v>
      </c>
      <c r="G214" s="14">
        <v>30966.44000000001</v>
      </c>
      <c r="H214" s="14">
        <v>2296.8361904761914</v>
      </c>
      <c r="I214" s="15">
        <v>450</v>
      </c>
    </row>
    <row r="215" spans="1:9" x14ac:dyDescent="0.3">
      <c r="A215" s="13" t="s">
        <v>8</v>
      </c>
      <c r="B215" s="13" t="s">
        <v>28</v>
      </c>
      <c r="C215" s="13" t="s">
        <v>25</v>
      </c>
      <c r="D215" s="13" t="s">
        <v>23</v>
      </c>
      <c r="E215">
        <v>8</v>
      </c>
      <c r="F215" s="15">
        <v>7200</v>
      </c>
      <c r="G215" s="14">
        <v>3627.04</v>
      </c>
      <c r="H215" s="14">
        <v>545.02779661016939</v>
      </c>
      <c r="I215" s="15">
        <v>900</v>
      </c>
    </row>
    <row r="216" spans="1:9" x14ac:dyDescent="0.3">
      <c r="A216" s="13" t="s">
        <v>8</v>
      </c>
      <c r="B216" s="13" t="s">
        <v>28</v>
      </c>
      <c r="C216" s="13" t="s">
        <v>10</v>
      </c>
      <c r="D216" s="13" t="s">
        <v>11</v>
      </c>
      <c r="E216">
        <v>8</v>
      </c>
      <c r="F216" s="15">
        <v>2680</v>
      </c>
      <c r="G216" s="14">
        <v>1080</v>
      </c>
      <c r="H216" s="14">
        <v>76.190476190476147</v>
      </c>
      <c r="I216" s="15">
        <v>335</v>
      </c>
    </row>
    <row r="217" spans="1:9" x14ac:dyDescent="0.3">
      <c r="A217" s="13" t="s">
        <v>8</v>
      </c>
      <c r="B217" s="13" t="s">
        <v>28</v>
      </c>
      <c r="C217" s="13" t="s">
        <v>12</v>
      </c>
      <c r="D217" s="13" t="s">
        <v>11</v>
      </c>
      <c r="E217">
        <v>160</v>
      </c>
      <c r="F217" s="15">
        <v>96000</v>
      </c>
      <c r="G217" s="14">
        <v>36960.520000000004</v>
      </c>
      <c r="H217" s="14">
        <v>2811.4038095238138</v>
      </c>
      <c r="I217" s="15">
        <v>600</v>
      </c>
    </row>
    <row r="218" spans="1:9" x14ac:dyDescent="0.3">
      <c r="A218" s="13" t="s">
        <v>8</v>
      </c>
      <c r="B218" s="13" t="s">
        <v>28</v>
      </c>
      <c r="C218" s="13" t="s">
        <v>13</v>
      </c>
      <c r="D218" s="13" t="s">
        <v>14</v>
      </c>
      <c r="E218">
        <v>2400</v>
      </c>
      <c r="F218" s="15">
        <v>900000</v>
      </c>
      <c r="G218" s="14">
        <v>621968.72000000055</v>
      </c>
      <c r="H218" s="14">
        <v>13239.584761904727</v>
      </c>
      <c r="I218" s="15">
        <v>375</v>
      </c>
    </row>
    <row r="219" spans="1:9" x14ac:dyDescent="0.3">
      <c r="A219" s="13" t="s">
        <v>8</v>
      </c>
      <c r="B219" s="13" t="s">
        <v>28</v>
      </c>
      <c r="C219" s="13" t="s">
        <v>15</v>
      </c>
      <c r="D219" s="13" t="s">
        <v>14</v>
      </c>
      <c r="E219">
        <v>4</v>
      </c>
      <c r="F219" s="15">
        <v>660</v>
      </c>
      <c r="G219" s="14">
        <v>120</v>
      </c>
      <c r="H219" s="14">
        <v>25.714285714285779</v>
      </c>
      <c r="I219" s="15">
        <v>165</v>
      </c>
    </row>
    <row r="220" spans="1:9" x14ac:dyDescent="0.3">
      <c r="A220" s="13" t="s">
        <v>8</v>
      </c>
      <c r="B220" s="13" t="s">
        <v>28</v>
      </c>
      <c r="C220" s="13" t="s">
        <v>16</v>
      </c>
      <c r="D220" s="13" t="s">
        <v>17</v>
      </c>
      <c r="E220">
        <v>4</v>
      </c>
      <c r="F220" s="15">
        <v>1196</v>
      </c>
      <c r="G220" s="14">
        <v>300</v>
      </c>
      <c r="H220" s="14">
        <v>96.000000000000114</v>
      </c>
      <c r="I220" s="15">
        <v>299</v>
      </c>
    </row>
    <row r="221" spans="1:9" x14ac:dyDescent="0.3">
      <c r="A221" s="13" t="s">
        <v>8</v>
      </c>
      <c r="B221" s="13" t="s">
        <v>28</v>
      </c>
      <c r="C221" s="13" t="s">
        <v>18</v>
      </c>
      <c r="D221" s="13" t="s">
        <v>17</v>
      </c>
      <c r="E221">
        <v>128</v>
      </c>
      <c r="F221" s="15">
        <v>73600</v>
      </c>
      <c r="G221" s="14">
        <v>24299.119999999988</v>
      </c>
      <c r="H221" s="14">
        <v>5282.2371428571496</v>
      </c>
      <c r="I221" s="15">
        <v>575</v>
      </c>
    </row>
    <row r="222" spans="1:9" x14ac:dyDescent="0.3">
      <c r="A222" s="13" t="s">
        <v>8</v>
      </c>
      <c r="B222" s="13" t="s">
        <v>28</v>
      </c>
      <c r="C222" s="13" t="s">
        <v>19</v>
      </c>
      <c r="D222" s="13" t="s">
        <v>17</v>
      </c>
      <c r="E222">
        <v>384</v>
      </c>
      <c r="F222" s="15">
        <v>441600</v>
      </c>
      <c r="G222" s="14">
        <v>160990.24000000011</v>
      </c>
      <c r="H222" s="14">
        <v>30065.33142857143</v>
      </c>
      <c r="I222" s="15">
        <v>1150</v>
      </c>
    </row>
    <row r="223" spans="1:9" x14ac:dyDescent="0.3">
      <c r="A223" s="13" t="s">
        <v>8</v>
      </c>
      <c r="B223" s="13" t="s">
        <v>28</v>
      </c>
      <c r="C223" s="13" t="s">
        <v>20</v>
      </c>
      <c r="D223" s="13" t="s">
        <v>14</v>
      </c>
      <c r="E223">
        <v>12</v>
      </c>
      <c r="F223" s="15">
        <v>9000</v>
      </c>
      <c r="G223" s="14">
        <v>4250.08</v>
      </c>
      <c r="H223" s="14">
        <v>226.1866666666665</v>
      </c>
      <c r="I223" s="15">
        <v>750</v>
      </c>
    </row>
    <row r="224" spans="1:9" x14ac:dyDescent="0.3">
      <c r="A224" s="13" t="s">
        <v>8</v>
      </c>
      <c r="B224" s="13" t="s">
        <v>28</v>
      </c>
      <c r="C224" s="13" t="s">
        <v>21</v>
      </c>
      <c r="D224" s="13" t="s">
        <v>11</v>
      </c>
      <c r="E224">
        <v>760</v>
      </c>
      <c r="F224" s="15">
        <v>912000</v>
      </c>
      <c r="G224" s="14">
        <v>369446.64000000118</v>
      </c>
      <c r="H224" s="14">
        <v>25835.874285714235</v>
      </c>
      <c r="I224" s="15">
        <v>1200</v>
      </c>
    </row>
    <row r="225" spans="1:9" x14ac:dyDescent="0.3">
      <c r="A225" s="13" t="s">
        <v>8</v>
      </c>
      <c r="B225" s="13" t="s">
        <v>28</v>
      </c>
      <c r="C225" s="13" t="s">
        <v>22</v>
      </c>
      <c r="D225" s="13" t="s">
        <v>23</v>
      </c>
      <c r="E225">
        <v>4</v>
      </c>
      <c r="F225" s="15">
        <v>796</v>
      </c>
      <c r="G225" s="14">
        <v>202.79999999999995</v>
      </c>
      <c r="H225" s="14">
        <v>28.247619047619082</v>
      </c>
      <c r="I225" s="15">
        <v>199</v>
      </c>
    </row>
    <row r="226" spans="1:9" x14ac:dyDescent="0.3">
      <c r="A226" s="13" t="s">
        <v>8</v>
      </c>
      <c r="B226" s="13" t="s">
        <v>28</v>
      </c>
      <c r="C226" s="13" t="s">
        <v>24</v>
      </c>
      <c r="D226" s="13" t="s">
        <v>23</v>
      </c>
      <c r="E226">
        <v>76</v>
      </c>
      <c r="F226" s="15">
        <v>34200</v>
      </c>
      <c r="G226" s="14">
        <v>16450.720000000005</v>
      </c>
      <c r="H226" s="14">
        <v>845.20380952380947</v>
      </c>
      <c r="I226" s="15">
        <v>450</v>
      </c>
    </row>
    <row r="227" spans="1:9" x14ac:dyDescent="0.3">
      <c r="A227" s="13" t="s">
        <v>8</v>
      </c>
      <c r="B227" s="13" t="s">
        <v>28</v>
      </c>
      <c r="C227" s="13" t="s">
        <v>25</v>
      </c>
      <c r="D227" s="13" t="s">
        <v>23</v>
      </c>
      <c r="E227">
        <v>4</v>
      </c>
      <c r="F227" s="15">
        <v>3600</v>
      </c>
      <c r="G227" s="14">
        <v>1623.04</v>
      </c>
      <c r="H227" s="14">
        <v>301.57016949152535</v>
      </c>
      <c r="I227" s="15">
        <v>900</v>
      </c>
    </row>
    <row r="228" spans="1:9" x14ac:dyDescent="0.3">
      <c r="A228" s="13" t="s">
        <v>8</v>
      </c>
      <c r="B228" s="13" t="s">
        <v>28</v>
      </c>
      <c r="C228" s="13" t="s">
        <v>10</v>
      </c>
      <c r="D228" s="13" t="s">
        <v>11</v>
      </c>
      <c r="E228">
        <v>36</v>
      </c>
      <c r="F228" s="15">
        <v>12060</v>
      </c>
      <c r="G228" s="14">
        <v>4936.16</v>
      </c>
      <c r="H228" s="14">
        <v>339.23047619047611</v>
      </c>
      <c r="I228" s="15">
        <v>335</v>
      </c>
    </row>
    <row r="229" spans="1:9" x14ac:dyDescent="0.3">
      <c r="A229" s="13" t="s">
        <v>8</v>
      </c>
      <c r="B229" s="13" t="s">
        <v>28</v>
      </c>
      <c r="C229" s="13" t="s">
        <v>12</v>
      </c>
      <c r="D229" s="13" t="s">
        <v>11</v>
      </c>
      <c r="E229">
        <v>204</v>
      </c>
      <c r="F229" s="15">
        <v>122400</v>
      </c>
      <c r="G229" s="14">
        <v>47840.159999999974</v>
      </c>
      <c r="H229" s="14">
        <v>3550.4685714285733</v>
      </c>
      <c r="I229" s="15">
        <v>600</v>
      </c>
    </row>
    <row r="230" spans="1:9" x14ac:dyDescent="0.3">
      <c r="A230" s="13" t="s">
        <v>8</v>
      </c>
      <c r="B230" s="13" t="s">
        <v>28</v>
      </c>
      <c r="C230" s="13" t="s">
        <v>13</v>
      </c>
      <c r="D230" s="13" t="s">
        <v>14</v>
      </c>
      <c r="E230">
        <v>1664</v>
      </c>
      <c r="F230" s="15">
        <v>624000</v>
      </c>
      <c r="G230" s="14">
        <v>430909.04000000015</v>
      </c>
      <c r="H230" s="14">
        <v>9194.8076190476131</v>
      </c>
      <c r="I230" s="15">
        <v>375</v>
      </c>
    </row>
    <row r="231" spans="1:9" x14ac:dyDescent="0.3">
      <c r="A231" s="13" t="s">
        <v>8</v>
      </c>
      <c r="B231" s="13" t="s">
        <v>28</v>
      </c>
      <c r="C231" s="13" t="s">
        <v>18</v>
      </c>
      <c r="D231" s="13" t="s">
        <v>17</v>
      </c>
      <c r="E231">
        <v>124</v>
      </c>
      <c r="F231" s="15">
        <v>71300</v>
      </c>
      <c r="G231" s="14">
        <v>23222.87999999999</v>
      </c>
      <c r="H231" s="14">
        <v>5151.1200000000026</v>
      </c>
      <c r="I231" s="15">
        <v>575</v>
      </c>
    </row>
    <row r="232" spans="1:9" x14ac:dyDescent="0.3">
      <c r="A232" s="13" t="s">
        <v>8</v>
      </c>
      <c r="B232" s="13" t="s">
        <v>28</v>
      </c>
      <c r="C232" s="13" t="s">
        <v>19</v>
      </c>
      <c r="D232" s="13" t="s">
        <v>17</v>
      </c>
      <c r="E232">
        <v>316</v>
      </c>
      <c r="F232" s="15">
        <v>363400</v>
      </c>
      <c r="G232" s="14">
        <v>133786.39999999994</v>
      </c>
      <c r="H232" s="14">
        <v>24601.457142857165</v>
      </c>
      <c r="I232" s="15">
        <v>1150</v>
      </c>
    </row>
    <row r="233" spans="1:9" x14ac:dyDescent="0.3">
      <c r="A233" s="13" t="s">
        <v>8</v>
      </c>
      <c r="B233" s="13" t="s">
        <v>28</v>
      </c>
      <c r="C233" s="13" t="s">
        <v>20</v>
      </c>
      <c r="D233" s="13" t="s">
        <v>14</v>
      </c>
      <c r="E233">
        <v>4</v>
      </c>
      <c r="F233" s="15">
        <v>3000</v>
      </c>
      <c r="G233" s="14">
        <v>1409.88</v>
      </c>
      <c r="H233" s="14">
        <v>75.720000000000027</v>
      </c>
      <c r="I233" s="15">
        <v>750</v>
      </c>
    </row>
    <row r="234" spans="1:9" x14ac:dyDescent="0.3">
      <c r="A234" s="13" t="s">
        <v>8</v>
      </c>
      <c r="B234" s="13" t="s">
        <v>28</v>
      </c>
      <c r="C234" s="13" t="s">
        <v>21</v>
      </c>
      <c r="D234" s="13" t="s">
        <v>11</v>
      </c>
      <c r="E234">
        <v>852</v>
      </c>
      <c r="F234" s="15">
        <v>1022400</v>
      </c>
      <c r="G234" s="14">
        <v>411062.32000000041</v>
      </c>
      <c r="H234" s="14">
        <v>29111.318095238064</v>
      </c>
      <c r="I234" s="15">
        <v>1200</v>
      </c>
    </row>
    <row r="235" spans="1:9" x14ac:dyDescent="0.3">
      <c r="A235" s="13" t="s">
        <v>8</v>
      </c>
      <c r="B235" s="13" t="s">
        <v>28</v>
      </c>
      <c r="C235" s="13" t="s">
        <v>24</v>
      </c>
      <c r="D235" s="13" t="s">
        <v>23</v>
      </c>
      <c r="E235">
        <v>184</v>
      </c>
      <c r="F235" s="15">
        <v>82800</v>
      </c>
      <c r="G235" s="14">
        <v>42893.560000000012</v>
      </c>
      <c r="H235" s="14">
        <v>1900.3066666666709</v>
      </c>
      <c r="I235" s="15">
        <v>450</v>
      </c>
    </row>
    <row r="236" spans="1:9" x14ac:dyDescent="0.3">
      <c r="A236" s="13" t="s">
        <v>8</v>
      </c>
      <c r="B236" s="13" t="s">
        <v>28</v>
      </c>
      <c r="C236" s="13" t="s">
        <v>25</v>
      </c>
      <c r="D236" s="13" t="s">
        <v>23</v>
      </c>
      <c r="E236">
        <v>4</v>
      </c>
      <c r="F236" s="15">
        <v>3600</v>
      </c>
      <c r="G236" s="14">
        <v>1623.04</v>
      </c>
      <c r="H236" s="14">
        <v>301.57016949152535</v>
      </c>
      <c r="I236" s="15">
        <v>900</v>
      </c>
    </row>
    <row r="237" spans="1:9" x14ac:dyDescent="0.3">
      <c r="A237" s="13" t="s">
        <v>8</v>
      </c>
      <c r="B237" s="13" t="s">
        <v>28</v>
      </c>
      <c r="C237" s="13" t="s">
        <v>10</v>
      </c>
      <c r="D237" s="13" t="s">
        <v>11</v>
      </c>
      <c r="E237">
        <v>8</v>
      </c>
      <c r="F237" s="15">
        <v>2680</v>
      </c>
      <c r="G237" s="14">
        <v>1080</v>
      </c>
      <c r="H237" s="14">
        <v>76.190476190476147</v>
      </c>
      <c r="I237" s="15">
        <v>335</v>
      </c>
    </row>
    <row r="238" spans="1:9" x14ac:dyDescent="0.3">
      <c r="A238" s="13" t="s">
        <v>8</v>
      </c>
      <c r="B238" s="13" t="s">
        <v>28</v>
      </c>
      <c r="C238" s="13" t="s">
        <v>12</v>
      </c>
      <c r="D238" s="13" t="s">
        <v>11</v>
      </c>
      <c r="E238">
        <v>200</v>
      </c>
      <c r="F238" s="15">
        <v>120000</v>
      </c>
      <c r="G238" s="14">
        <v>46268.759999999995</v>
      </c>
      <c r="H238" s="14">
        <v>3511.0114285714371</v>
      </c>
      <c r="I238" s="15">
        <v>600</v>
      </c>
    </row>
    <row r="239" spans="1:9" x14ac:dyDescent="0.3">
      <c r="A239" s="13" t="s">
        <v>8</v>
      </c>
      <c r="B239" s="13" t="s">
        <v>28</v>
      </c>
      <c r="C239" s="13" t="s">
        <v>13</v>
      </c>
      <c r="D239" s="13" t="s">
        <v>14</v>
      </c>
      <c r="E239">
        <v>528</v>
      </c>
      <c r="F239" s="15">
        <v>198000</v>
      </c>
      <c r="G239" s="14">
        <v>136661.24000000005</v>
      </c>
      <c r="H239" s="14">
        <v>2920.8933333333334</v>
      </c>
      <c r="I239" s="15">
        <v>375</v>
      </c>
    </row>
    <row r="240" spans="1:9" x14ac:dyDescent="0.3">
      <c r="A240" s="13" t="s">
        <v>8</v>
      </c>
      <c r="B240" s="13" t="s">
        <v>28</v>
      </c>
      <c r="C240" s="13" t="s">
        <v>16</v>
      </c>
      <c r="D240" s="13" t="s">
        <v>17</v>
      </c>
      <c r="E240">
        <v>4</v>
      </c>
      <c r="F240" s="15">
        <v>1196</v>
      </c>
      <c r="G240" s="14">
        <v>317.84000000000003</v>
      </c>
      <c r="H240" s="14">
        <v>94.088571428571527</v>
      </c>
      <c r="I240" s="15">
        <v>299</v>
      </c>
    </row>
    <row r="241" spans="1:9" x14ac:dyDescent="0.3">
      <c r="A241" s="13" t="s">
        <v>8</v>
      </c>
      <c r="B241" s="13" t="s">
        <v>28</v>
      </c>
      <c r="C241" s="13" t="s">
        <v>18</v>
      </c>
      <c r="D241" s="13" t="s">
        <v>17</v>
      </c>
      <c r="E241">
        <v>96</v>
      </c>
      <c r="F241" s="15">
        <v>55200</v>
      </c>
      <c r="G241" s="14">
        <v>17923.19999999999</v>
      </c>
      <c r="H241" s="14">
        <v>3993.942857142858</v>
      </c>
      <c r="I241" s="15">
        <v>575</v>
      </c>
    </row>
    <row r="242" spans="1:9" x14ac:dyDescent="0.3">
      <c r="A242" s="13" t="s">
        <v>8</v>
      </c>
      <c r="B242" s="13" t="s">
        <v>28</v>
      </c>
      <c r="C242" s="13" t="s">
        <v>19</v>
      </c>
      <c r="D242" s="13" t="s">
        <v>17</v>
      </c>
      <c r="E242">
        <v>324</v>
      </c>
      <c r="F242" s="15">
        <v>372600</v>
      </c>
      <c r="G242" s="14">
        <v>131484.11999999994</v>
      </c>
      <c r="H242" s="14">
        <v>25833.844285714324</v>
      </c>
      <c r="I242" s="15">
        <v>1150</v>
      </c>
    </row>
    <row r="243" spans="1:9" x14ac:dyDescent="0.3">
      <c r="A243" s="13" t="s">
        <v>8</v>
      </c>
      <c r="B243" s="13" t="s">
        <v>28</v>
      </c>
      <c r="C243" s="13" t="s">
        <v>20</v>
      </c>
      <c r="D243" s="13" t="s">
        <v>14</v>
      </c>
      <c r="E243">
        <v>8</v>
      </c>
      <c r="F243" s="15">
        <v>6000</v>
      </c>
      <c r="G243" s="14">
        <v>2979.04</v>
      </c>
      <c r="H243" s="14">
        <v>143.85523809523829</v>
      </c>
      <c r="I243" s="15">
        <v>750</v>
      </c>
    </row>
    <row r="244" spans="1:9" x14ac:dyDescent="0.3">
      <c r="A244" s="13" t="s">
        <v>8</v>
      </c>
      <c r="B244" s="13" t="s">
        <v>28</v>
      </c>
      <c r="C244" s="13" t="s">
        <v>21</v>
      </c>
      <c r="D244" s="13" t="s">
        <v>11</v>
      </c>
      <c r="E244">
        <v>636</v>
      </c>
      <c r="F244" s="15">
        <v>763200</v>
      </c>
      <c r="G244" s="14">
        <v>308712.2800000009</v>
      </c>
      <c r="H244" s="14">
        <v>21642.272380952374</v>
      </c>
      <c r="I244" s="15">
        <v>1200</v>
      </c>
    </row>
    <row r="245" spans="1:9" x14ac:dyDescent="0.3">
      <c r="A245" s="13" t="s">
        <v>8</v>
      </c>
      <c r="B245" s="13" t="s">
        <v>28</v>
      </c>
      <c r="C245" s="13" t="s">
        <v>24</v>
      </c>
      <c r="D245" s="13" t="s">
        <v>23</v>
      </c>
      <c r="E245">
        <v>152</v>
      </c>
      <c r="F245" s="15">
        <v>68400</v>
      </c>
      <c r="G245" s="14">
        <v>34739.12000000001</v>
      </c>
      <c r="H245" s="14">
        <v>1602.8990476190484</v>
      </c>
      <c r="I245" s="15">
        <v>450</v>
      </c>
    </row>
    <row r="246" spans="1:9" x14ac:dyDescent="0.3">
      <c r="A246" s="13" t="s">
        <v>8</v>
      </c>
      <c r="B246" s="13" t="s">
        <v>28</v>
      </c>
      <c r="C246" s="13" t="s">
        <v>25</v>
      </c>
      <c r="D246" s="13" t="s">
        <v>23</v>
      </c>
      <c r="E246">
        <v>4</v>
      </c>
      <c r="F246" s="15">
        <v>3600</v>
      </c>
      <c r="G246" s="14">
        <v>1623.04</v>
      </c>
      <c r="H246" s="14">
        <v>301.57016949152535</v>
      </c>
      <c r="I246" s="15">
        <v>900</v>
      </c>
    </row>
    <row r="247" spans="1:9" x14ac:dyDescent="0.3">
      <c r="A247" s="13" t="s">
        <v>8</v>
      </c>
      <c r="B247" s="13" t="s">
        <v>28</v>
      </c>
      <c r="C247" s="13" t="s">
        <v>10</v>
      </c>
      <c r="D247" s="13" t="s">
        <v>11</v>
      </c>
      <c r="E247">
        <v>24</v>
      </c>
      <c r="F247" s="15">
        <v>8040</v>
      </c>
      <c r="G247" s="14">
        <v>3278.04</v>
      </c>
      <c r="H247" s="14">
        <v>226.76000000000022</v>
      </c>
      <c r="I247" s="15">
        <v>335</v>
      </c>
    </row>
    <row r="248" spans="1:9" x14ac:dyDescent="0.3">
      <c r="A248" s="13" t="s">
        <v>8</v>
      </c>
      <c r="B248" s="13" t="s">
        <v>28</v>
      </c>
      <c r="C248" s="13" t="s">
        <v>12</v>
      </c>
      <c r="D248" s="13" t="s">
        <v>11</v>
      </c>
      <c r="E248">
        <v>560</v>
      </c>
      <c r="F248" s="15">
        <v>336000</v>
      </c>
      <c r="G248" s="14">
        <v>217705.44</v>
      </c>
      <c r="H248" s="14">
        <v>5633.0742857142905</v>
      </c>
      <c r="I248" s="15">
        <v>600</v>
      </c>
    </row>
    <row r="249" spans="1:9" x14ac:dyDescent="0.3">
      <c r="A249" s="13" t="s">
        <v>8</v>
      </c>
      <c r="B249" s="13" t="s">
        <v>28</v>
      </c>
      <c r="C249" s="13" t="s">
        <v>13</v>
      </c>
      <c r="D249" s="13" t="s">
        <v>14</v>
      </c>
      <c r="E249">
        <v>200</v>
      </c>
      <c r="F249" s="15">
        <v>75000</v>
      </c>
      <c r="G249" s="14">
        <v>51513.080000000009</v>
      </c>
      <c r="H249" s="14">
        <v>1118.4247619047637</v>
      </c>
      <c r="I249" s="15">
        <v>375</v>
      </c>
    </row>
    <row r="250" spans="1:9" x14ac:dyDescent="0.3">
      <c r="A250" s="13" t="s">
        <v>8</v>
      </c>
      <c r="B250" s="13" t="s">
        <v>28</v>
      </c>
      <c r="C250" s="13" t="s">
        <v>18</v>
      </c>
      <c r="D250" s="13" t="s">
        <v>17</v>
      </c>
      <c r="E250">
        <v>100</v>
      </c>
      <c r="F250" s="15">
        <v>57500</v>
      </c>
      <c r="G250" s="14">
        <v>18671.080000000002</v>
      </c>
      <c r="H250" s="14">
        <v>4160.2414285714331</v>
      </c>
      <c r="I250" s="15">
        <v>575</v>
      </c>
    </row>
    <row r="251" spans="1:9" x14ac:dyDescent="0.3">
      <c r="A251" s="13" t="s">
        <v>8</v>
      </c>
      <c r="B251" s="13" t="s">
        <v>28</v>
      </c>
      <c r="C251" s="13" t="s">
        <v>19</v>
      </c>
      <c r="D251" s="13" t="s">
        <v>17</v>
      </c>
      <c r="E251">
        <v>356</v>
      </c>
      <c r="F251" s="15">
        <v>409400</v>
      </c>
      <c r="G251" s="14">
        <v>226736.31999999998</v>
      </c>
      <c r="H251" s="14">
        <v>19571.108571428602</v>
      </c>
      <c r="I251" s="15">
        <v>1150</v>
      </c>
    </row>
    <row r="252" spans="1:9" x14ac:dyDescent="0.3">
      <c r="A252" s="13" t="s">
        <v>8</v>
      </c>
      <c r="B252" s="13" t="s">
        <v>28</v>
      </c>
      <c r="C252" s="13" t="s">
        <v>20</v>
      </c>
      <c r="D252" s="13" t="s">
        <v>14</v>
      </c>
      <c r="E252">
        <v>16</v>
      </c>
      <c r="F252" s="15">
        <v>12000</v>
      </c>
      <c r="G252" s="14">
        <v>5806.08</v>
      </c>
      <c r="H252" s="14">
        <v>294.948571428572</v>
      </c>
      <c r="I252" s="15">
        <v>750</v>
      </c>
    </row>
    <row r="253" spans="1:9" x14ac:dyDescent="0.3">
      <c r="A253" s="13" t="s">
        <v>8</v>
      </c>
      <c r="B253" s="13" t="s">
        <v>28</v>
      </c>
      <c r="C253" s="13" t="s">
        <v>21</v>
      </c>
      <c r="D253" s="13" t="s">
        <v>11</v>
      </c>
      <c r="E253">
        <v>348</v>
      </c>
      <c r="F253" s="15">
        <v>417600</v>
      </c>
      <c r="G253" s="14">
        <v>174879.52</v>
      </c>
      <c r="H253" s="14">
        <v>11558.118095238111</v>
      </c>
      <c r="I253" s="15">
        <v>1200</v>
      </c>
    </row>
    <row r="254" spans="1:9" x14ac:dyDescent="0.3">
      <c r="A254" s="13" t="s">
        <v>8</v>
      </c>
      <c r="B254" s="13" t="s">
        <v>28</v>
      </c>
      <c r="C254" s="13" t="s">
        <v>22</v>
      </c>
      <c r="D254" s="13" t="s">
        <v>23</v>
      </c>
      <c r="E254">
        <v>4</v>
      </c>
      <c r="F254" s="15">
        <v>796</v>
      </c>
      <c r="G254" s="14">
        <v>200</v>
      </c>
      <c r="H254" s="14">
        <v>28.380952380952408</v>
      </c>
      <c r="I254" s="15">
        <v>199</v>
      </c>
    </row>
    <row r="255" spans="1:9" x14ac:dyDescent="0.3">
      <c r="A255" s="13" t="s">
        <v>8</v>
      </c>
      <c r="B255" s="13" t="s">
        <v>28</v>
      </c>
      <c r="C255" s="13" t="s">
        <v>24</v>
      </c>
      <c r="D255" s="13" t="s">
        <v>23</v>
      </c>
      <c r="E255">
        <v>80</v>
      </c>
      <c r="F255" s="15">
        <v>36000</v>
      </c>
      <c r="G255" s="14">
        <v>18358.600000000002</v>
      </c>
      <c r="H255" s="14">
        <v>840.0666666666657</v>
      </c>
      <c r="I255" s="15">
        <v>450</v>
      </c>
    </row>
    <row r="256" spans="1:9" x14ac:dyDescent="0.3">
      <c r="A256" s="13" t="s">
        <v>8</v>
      </c>
      <c r="B256" s="13" t="s">
        <v>28</v>
      </c>
      <c r="C256" s="13" t="s">
        <v>26</v>
      </c>
      <c r="D256" s="13" t="s">
        <v>27</v>
      </c>
      <c r="E256">
        <v>96</v>
      </c>
      <c r="F256" s="15">
        <v>225600</v>
      </c>
      <c r="G256" s="14">
        <v>171200</v>
      </c>
      <c r="H256" s="14">
        <v>5828.5714285714348</v>
      </c>
      <c r="I256" s="15">
        <v>2350</v>
      </c>
    </row>
    <row r="257" spans="1:9" x14ac:dyDescent="0.3">
      <c r="A257" s="13" t="s">
        <v>8</v>
      </c>
      <c r="B257" s="13" t="s">
        <v>28</v>
      </c>
      <c r="C257" s="13" t="s">
        <v>12</v>
      </c>
      <c r="D257" s="13" t="s">
        <v>11</v>
      </c>
      <c r="E257">
        <v>12</v>
      </c>
      <c r="F257" s="15">
        <v>7200</v>
      </c>
      <c r="G257" s="14">
        <v>1983.04</v>
      </c>
      <c r="H257" s="14">
        <v>248.42666666666719</v>
      </c>
      <c r="I257" s="15">
        <v>600</v>
      </c>
    </row>
    <row r="258" spans="1:9" x14ac:dyDescent="0.3">
      <c r="A258" s="13" t="s">
        <v>8</v>
      </c>
      <c r="B258" s="13" t="s">
        <v>28</v>
      </c>
      <c r="C258" s="13" t="s">
        <v>13</v>
      </c>
      <c r="D258" s="13" t="s">
        <v>14</v>
      </c>
      <c r="E258">
        <v>296</v>
      </c>
      <c r="F258" s="15">
        <v>111000</v>
      </c>
      <c r="G258" s="14">
        <v>77167.760000000009</v>
      </c>
      <c r="H258" s="14">
        <v>1611.0590476190482</v>
      </c>
      <c r="I258" s="15">
        <v>375</v>
      </c>
    </row>
    <row r="259" spans="1:9" x14ac:dyDescent="0.3">
      <c r="A259" s="13" t="s">
        <v>8</v>
      </c>
      <c r="B259" s="13" t="s">
        <v>28</v>
      </c>
      <c r="C259" s="13" t="s">
        <v>15</v>
      </c>
      <c r="D259" s="13" t="s">
        <v>14</v>
      </c>
      <c r="E259">
        <v>4</v>
      </c>
      <c r="F259" s="15">
        <v>660</v>
      </c>
      <c r="G259" s="14">
        <v>171.44</v>
      </c>
      <c r="H259" s="14">
        <v>23.26476190476194</v>
      </c>
      <c r="I259" s="15">
        <v>165</v>
      </c>
    </row>
    <row r="260" spans="1:9" x14ac:dyDescent="0.3">
      <c r="A260" s="13" t="s">
        <v>8</v>
      </c>
      <c r="B260" s="13" t="s">
        <v>28</v>
      </c>
      <c r="C260" s="13" t="s">
        <v>18</v>
      </c>
      <c r="D260" s="13" t="s">
        <v>17</v>
      </c>
      <c r="E260">
        <v>8</v>
      </c>
      <c r="F260" s="15">
        <v>4600</v>
      </c>
      <c r="G260" s="14">
        <v>1008</v>
      </c>
      <c r="H260" s="14">
        <v>384.85714285714312</v>
      </c>
      <c r="I260" s="15">
        <v>575</v>
      </c>
    </row>
    <row r="261" spans="1:9" x14ac:dyDescent="0.3">
      <c r="A261" s="13" t="s">
        <v>8</v>
      </c>
      <c r="B261" s="13" t="s">
        <v>28</v>
      </c>
      <c r="C261" s="13" t="s">
        <v>19</v>
      </c>
      <c r="D261" s="13" t="s">
        <v>17</v>
      </c>
      <c r="E261">
        <v>192</v>
      </c>
      <c r="F261" s="15">
        <v>220800</v>
      </c>
      <c r="G261" s="14">
        <v>94243.56</v>
      </c>
      <c r="H261" s="14">
        <v>13559.618571428582</v>
      </c>
      <c r="I261" s="15">
        <v>1150</v>
      </c>
    </row>
    <row r="262" spans="1:9" x14ac:dyDescent="0.3">
      <c r="A262" s="13" t="s">
        <v>8</v>
      </c>
      <c r="B262" s="13" t="s">
        <v>28</v>
      </c>
      <c r="C262" s="13" t="s">
        <v>21</v>
      </c>
      <c r="D262" s="13" t="s">
        <v>11</v>
      </c>
      <c r="E262">
        <v>520</v>
      </c>
      <c r="F262" s="15">
        <v>624000</v>
      </c>
      <c r="G262" s="14">
        <v>266979.83999999997</v>
      </c>
      <c r="H262" s="14">
        <v>17000.960000000021</v>
      </c>
      <c r="I262" s="15">
        <v>1200</v>
      </c>
    </row>
    <row r="263" spans="1:9" x14ac:dyDescent="0.3">
      <c r="A263" s="13" t="s">
        <v>8</v>
      </c>
      <c r="B263" s="13" t="s">
        <v>28</v>
      </c>
      <c r="C263" s="13" t="s">
        <v>22</v>
      </c>
      <c r="D263" s="13" t="s">
        <v>23</v>
      </c>
      <c r="E263">
        <v>4</v>
      </c>
      <c r="F263" s="15">
        <v>796</v>
      </c>
      <c r="G263" s="14">
        <v>200</v>
      </c>
      <c r="H263" s="14">
        <v>28.380952380952408</v>
      </c>
      <c r="I263" s="15">
        <v>199</v>
      </c>
    </row>
    <row r="264" spans="1:9" x14ac:dyDescent="0.3">
      <c r="A264" s="13" t="s">
        <v>8</v>
      </c>
      <c r="B264" s="13" t="s">
        <v>28</v>
      </c>
      <c r="C264" s="13" t="s">
        <v>24</v>
      </c>
      <c r="D264" s="13" t="s">
        <v>23</v>
      </c>
      <c r="E264">
        <v>84</v>
      </c>
      <c r="F264" s="15">
        <v>37800</v>
      </c>
      <c r="G264" s="14">
        <v>19361.919999999998</v>
      </c>
      <c r="H264" s="14">
        <v>878.00380952380874</v>
      </c>
      <c r="I264" s="15">
        <v>450</v>
      </c>
    </row>
    <row r="265" spans="1:9" x14ac:dyDescent="0.3">
      <c r="A265" s="13" t="s">
        <v>8</v>
      </c>
      <c r="B265" s="13" t="s">
        <v>28</v>
      </c>
      <c r="C265" s="13" t="s">
        <v>25</v>
      </c>
      <c r="D265" s="13" t="s">
        <v>23</v>
      </c>
      <c r="E265">
        <v>4</v>
      </c>
      <c r="F265" s="15">
        <v>3600</v>
      </c>
      <c r="G265" s="14">
        <v>1699.04</v>
      </c>
      <c r="H265" s="14">
        <v>289.97694915254237</v>
      </c>
      <c r="I265" s="15">
        <v>900</v>
      </c>
    </row>
    <row r="266" spans="1:9" x14ac:dyDescent="0.3">
      <c r="A266" s="13" t="s">
        <v>8</v>
      </c>
      <c r="B266" s="13" t="s">
        <v>28</v>
      </c>
      <c r="C266" s="13" t="s">
        <v>26</v>
      </c>
      <c r="D266" s="13" t="s">
        <v>27</v>
      </c>
      <c r="E266">
        <v>384</v>
      </c>
      <c r="F266" s="15">
        <v>902400</v>
      </c>
      <c r="G266" s="14">
        <v>671200</v>
      </c>
      <c r="H266" s="14">
        <v>24771.42857142858</v>
      </c>
      <c r="I266" s="15">
        <v>2350</v>
      </c>
    </row>
    <row r="267" spans="1:9" x14ac:dyDescent="0.3">
      <c r="A267" s="13" t="s">
        <v>8</v>
      </c>
      <c r="B267" s="13" t="s">
        <v>28</v>
      </c>
      <c r="C267" s="13" t="s">
        <v>12</v>
      </c>
      <c r="D267" s="13" t="s">
        <v>11</v>
      </c>
      <c r="E267">
        <v>16</v>
      </c>
      <c r="F267" s="15">
        <v>9600</v>
      </c>
      <c r="G267" s="14">
        <v>2416</v>
      </c>
      <c r="H267" s="14">
        <v>342.09523809523853</v>
      </c>
      <c r="I267" s="15">
        <v>600</v>
      </c>
    </row>
    <row r="268" spans="1:9" x14ac:dyDescent="0.3">
      <c r="A268" s="13" t="s">
        <v>8</v>
      </c>
      <c r="B268" s="13" t="s">
        <v>28</v>
      </c>
      <c r="C268" s="13" t="s">
        <v>13</v>
      </c>
      <c r="D268" s="13" t="s">
        <v>14</v>
      </c>
      <c r="E268">
        <v>348</v>
      </c>
      <c r="F268" s="15">
        <v>130500</v>
      </c>
      <c r="G268" s="14">
        <v>88899.87999999999</v>
      </c>
      <c r="H268" s="14">
        <v>1980.9580952381002</v>
      </c>
      <c r="I268" s="15">
        <v>375</v>
      </c>
    </row>
    <row r="269" spans="1:9" x14ac:dyDescent="0.3">
      <c r="A269" s="13" t="s">
        <v>8</v>
      </c>
      <c r="B269" s="13" t="s">
        <v>28</v>
      </c>
      <c r="C269" s="13" t="s">
        <v>18</v>
      </c>
      <c r="D269" s="13" t="s">
        <v>17</v>
      </c>
      <c r="E269">
        <v>20</v>
      </c>
      <c r="F269" s="15">
        <v>11500</v>
      </c>
      <c r="G269" s="14">
        <v>2736</v>
      </c>
      <c r="H269" s="14">
        <v>939.00000000000091</v>
      </c>
      <c r="I269" s="15">
        <v>575</v>
      </c>
    </row>
    <row r="270" spans="1:9" x14ac:dyDescent="0.3">
      <c r="A270" s="13" t="s">
        <v>8</v>
      </c>
      <c r="B270" s="13" t="s">
        <v>28</v>
      </c>
      <c r="C270" s="13" t="s">
        <v>19</v>
      </c>
      <c r="D270" s="13" t="s">
        <v>17</v>
      </c>
      <c r="E270">
        <v>36</v>
      </c>
      <c r="F270" s="15">
        <v>41400</v>
      </c>
      <c r="G270" s="14">
        <v>13277.760000000002</v>
      </c>
      <c r="H270" s="14">
        <v>3013.0971428571465</v>
      </c>
      <c r="I270" s="15">
        <v>1150</v>
      </c>
    </row>
    <row r="271" spans="1:9" x14ac:dyDescent="0.3">
      <c r="A271" s="13" t="s">
        <v>8</v>
      </c>
      <c r="B271" s="13" t="s">
        <v>28</v>
      </c>
      <c r="C271" s="13" t="s">
        <v>21</v>
      </c>
      <c r="D271" s="13" t="s">
        <v>11</v>
      </c>
      <c r="E271">
        <v>380</v>
      </c>
      <c r="F271" s="15">
        <v>456000</v>
      </c>
      <c r="G271" s="14">
        <v>197460.99999999997</v>
      </c>
      <c r="H271" s="14">
        <v>12311.380952380976</v>
      </c>
      <c r="I271" s="15">
        <v>1200</v>
      </c>
    </row>
    <row r="272" spans="1:9" x14ac:dyDescent="0.3">
      <c r="A272" s="13" t="s">
        <v>8</v>
      </c>
      <c r="B272" s="13" t="s">
        <v>28</v>
      </c>
      <c r="C272" s="13" t="s">
        <v>22</v>
      </c>
      <c r="D272" s="13" t="s">
        <v>23</v>
      </c>
      <c r="E272">
        <v>4</v>
      </c>
      <c r="F272" s="15">
        <v>796</v>
      </c>
      <c r="G272" s="14">
        <v>200</v>
      </c>
      <c r="H272" s="14">
        <v>28.380952380952408</v>
      </c>
      <c r="I272" s="15">
        <v>199</v>
      </c>
    </row>
    <row r="273" spans="1:9" x14ac:dyDescent="0.3">
      <c r="A273" s="13" t="s">
        <v>8</v>
      </c>
      <c r="B273" s="13" t="s">
        <v>28</v>
      </c>
      <c r="C273" s="13" t="s">
        <v>24</v>
      </c>
      <c r="D273" s="13" t="s">
        <v>23</v>
      </c>
      <c r="E273">
        <v>60</v>
      </c>
      <c r="F273" s="15">
        <v>27000</v>
      </c>
      <c r="G273" s="14">
        <v>13800</v>
      </c>
      <c r="H273" s="14">
        <v>628.57142857142935</v>
      </c>
      <c r="I273" s="15">
        <v>450</v>
      </c>
    </row>
    <row r="274" spans="1:9" x14ac:dyDescent="0.3">
      <c r="A274" s="13" t="s">
        <v>8</v>
      </c>
      <c r="B274" s="13" t="s">
        <v>28</v>
      </c>
      <c r="C274" s="13" t="s">
        <v>12</v>
      </c>
      <c r="D274" s="13" t="s">
        <v>11</v>
      </c>
      <c r="E274">
        <v>4</v>
      </c>
      <c r="F274" s="15">
        <v>2400</v>
      </c>
      <c r="G274" s="14">
        <v>604</v>
      </c>
      <c r="H274" s="14">
        <v>85.523809523809632</v>
      </c>
      <c r="I274" s="15">
        <v>600</v>
      </c>
    </row>
    <row r="275" spans="1:9" x14ac:dyDescent="0.3">
      <c r="A275" s="13" t="s">
        <v>8</v>
      </c>
      <c r="B275" s="13" t="s">
        <v>28</v>
      </c>
      <c r="C275" s="13" t="s">
        <v>13</v>
      </c>
      <c r="D275" s="13" t="s">
        <v>14</v>
      </c>
      <c r="E275">
        <v>936</v>
      </c>
      <c r="F275" s="15">
        <v>351000</v>
      </c>
      <c r="G275" s="14">
        <v>239616.55999999994</v>
      </c>
      <c r="H275" s="14">
        <v>5303.9733333333425</v>
      </c>
      <c r="I275" s="15">
        <v>375</v>
      </c>
    </row>
    <row r="276" spans="1:9" x14ac:dyDescent="0.3">
      <c r="A276" s="13" t="s">
        <v>8</v>
      </c>
      <c r="B276" s="13" t="s">
        <v>28</v>
      </c>
      <c r="C276" s="13" t="s">
        <v>18</v>
      </c>
      <c r="D276" s="13" t="s">
        <v>17</v>
      </c>
      <c r="E276">
        <v>16</v>
      </c>
      <c r="F276" s="15">
        <v>9200</v>
      </c>
      <c r="G276" s="14">
        <v>2016</v>
      </c>
      <c r="H276" s="14">
        <v>769.71428571428623</v>
      </c>
      <c r="I276" s="15">
        <v>575</v>
      </c>
    </row>
    <row r="277" spans="1:9" x14ac:dyDescent="0.3">
      <c r="A277" s="13" t="s">
        <v>8</v>
      </c>
      <c r="B277" s="13" t="s">
        <v>28</v>
      </c>
      <c r="C277" s="13" t="s">
        <v>19</v>
      </c>
      <c r="D277" s="13" t="s">
        <v>17</v>
      </c>
      <c r="E277">
        <v>104</v>
      </c>
      <c r="F277" s="15">
        <v>119600</v>
      </c>
      <c r="G277" s="14">
        <v>38389.320000000007</v>
      </c>
      <c r="H277" s="14">
        <v>8701.1442857142974</v>
      </c>
      <c r="I277" s="15">
        <v>1150</v>
      </c>
    </row>
    <row r="278" spans="1:9" x14ac:dyDescent="0.3">
      <c r="A278" s="13" t="s">
        <v>8</v>
      </c>
      <c r="B278" s="13" t="s">
        <v>28</v>
      </c>
      <c r="C278" s="13" t="s">
        <v>20</v>
      </c>
      <c r="D278" s="13" t="s">
        <v>14</v>
      </c>
      <c r="E278">
        <v>4</v>
      </c>
      <c r="F278" s="15">
        <v>3000</v>
      </c>
      <c r="G278" s="14">
        <v>1404</v>
      </c>
      <c r="H278" s="14">
        <v>76</v>
      </c>
      <c r="I278" s="15">
        <v>750</v>
      </c>
    </row>
    <row r="279" spans="1:9" x14ac:dyDescent="0.3">
      <c r="A279" s="13" t="s">
        <v>8</v>
      </c>
      <c r="B279" s="13" t="s">
        <v>28</v>
      </c>
      <c r="C279" s="13" t="s">
        <v>21</v>
      </c>
      <c r="D279" s="13" t="s">
        <v>11</v>
      </c>
      <c r="E279">
        <v>380</v>
      </c>
      <c r="F279" s="15">
        <v>456000</v>
      </c>
      <c r="G279" s="14">
        <v>196411.08</v>
      </c>
      <c r="H279" s="14">
        <v>12361.377142857149</v>
      </c>
      <c r="I279" s="15">
        <v>1200</v>
      </c>
    </row>
    <row r="280" spans="1:9" x14ac:dyDescent="0.3">
      <c r="A280" s="13" t="s">
        <v>8</v>
      </c>
      <c r="B280" s="13" t="s">
        <v>28</v>
      </c>
      <c r="C280" s="13" t="s">
        <v>22</v>
      </c>
      <c r="D280" s="13" t="s">
        <v>23</v>
      </c>
      <c r="E280">
        <v>4</v>
      </c>
      <c r="F280" s="15">
        <v>796</v>
      </c>
      <c r="G280" s="14">
        <v>200</v>
      </c>
      <c r="H280" s="14">
        <v>28.380952380952408</v>
      </c>
      <c r="I280" s="15">
        <v>199</v>
      </c>
    </row>
    <row r="281" spans="1:9" x14ac:dyDescent="0.3">
      <c r="A281" s="13" t="s">
        <v>8</v>
      </c>
      <c r="B281" s="13" t="s">
        <v>28</v>
      </c>
      <c r="C281" s="13" t="s">
        <v>24</v>
      </c>
      <c r="D281" s="13" t="s">
        <v>23</v>
      </c>
      <c r="E281">
        <v>112</v>
      </c>
      <c r="F281" s="15">
        <v>50400</v>
      </c>
      <c r="G281" s="14">
        <v>25885.759999999998</v>
      </c>
      <c r="H281" s="14">
        <v>1167.344761904762</v>
      </c>
      <c r="I281" s="15">
        <v>450</v>
      </c>
    </row>
    <row r="282" spans="1:9" x14ac:dyDescent="0.3">
      <c r="A282" s="13" t="s">
        <v>8</v>
      </c>
      <c r="B282" s="13" t="s">
        <v>28</v>
      </c>
      <c r="C282" s="13" t="s">
        <v>25</v>
      </c>
      <c r="D282" s="13" t="s">
        <v>23</v>
      </c>
      <c r="E282">
        <v>4</v>
      </c>
      <c r="F282" s="15">
        <v>3600</v>
      </c>
      <c r="G282" s="14">
        <v>1604</v>
      </c>
      <c r="H282" s="14">
        <v>304.47457627118638</v>
      </c>
      <c r="I282" s="15">
        <v>900</v>
      </c>
    </row>
    <row r="283" spans="1:9" x14ac:dyDescent="0.3">
      <c r="A283" s="13" t="s">
        <v>8</v>
      </c>
      <c r="B283" s="13" t="s">
        <v>28</v>
      </c>
      <c r="C283" s="13" t="s">
        <v>26</v>
      </c>
      <c r="D283" s="13" t="s">
        <v>27</v>
      </c>
      <c r="E283">
        <v>4</v>
      </c>
      <c r="F283" s="15">
        <v>9400</v>
      </c>
      <c r="G283" s="14">
        <v>2600</v>
      </c>
      <c r="H283" s="14">
        <v>728.57142857142935</v>
      </c>
      <c r="I283" s="15">
        <v>2350</v>
      </c>
    </row>
    <row r="284" spans="1:9" x14ac:dyDescent="0.3">
      <c r="A284" s="13" t="s">
        <v>8</v>
      </c>
      <c r="B284" s="13" t="s">
        <v>28</v>
      </c>
      <c r="C284" s="13" t="s">
        <v>10</v>
      </c>
      <c r="D284" s="13" t="s">
        <v>11</v>
      </c>
      <c r="E284">
        <v>4</v>
      </c>
      <c r="F284" s="15">
        <v>1340</v>
      </c>
      <c r="G284" s="14">
        <v>144</v>
      </c>
      <c r="H284" s="14">
        <v>56.952380952380963</v>
      </c>
      <c r="I284" s="15">
        <v>335</v>
      </c>
    </row>
    <row r="285" spans="1:9" x14ac:dyDescent="0.3">
      <c r="A285" s="13" t="s">
        <v>8</v>
      </c>
      <c r="B285" s="13" t="s">
        <v>28</v>
      </c>
      <c r="C285" s="13" t="s">
        <v>12</v>
      </c>
      <c r="D285" s="13" t="s">
        <v>11</v>
      </c>
      <c r="E285">
        <v>16</v>
      </c>
      <c r="F285" s="15">
        <v>9600</v>
      </c>
      <c r="G285" s="14">
        <v>2672.5599999999995</v>
      </c>
      <c r="H285" s="14">
        <v>329.87809523809574</v>
      </c>
      <c r="I285" s="15">
        <v>600</v>
      </c>
    </row>
    <row r="286" spans="1:9" x14ac:dyDescent="0.3">
      <c r="A286" s="13" t="s">
        <v>8</v>
      </c>
      <c r="B286" s="13" t="s">
        <v>28</v>
      </c>
      <c r="C286" s="13" t="s">
        <v>13</v>
      </c>
      <c r="D286" s="13" t="s">
        <v>14</v>
      </c>
      <c r="E286">
        <v>944</v>
      </c>
      <c r="F286" s="15">
        <v>354000</v>
      </c>
      <c r="G286" s="14">
        <v>241793.47999999998</v>
      </c>
      <c r="H286" s="14">
        <v>5343.1676190476282</v>
      </c>
      <c r="I286" s="15">
        <v>375</v>
      </c>
    </row>
    <row r="287" spans="1:9" x14ac:dyDescent="0.3">
      <c r="A287" s="13" t="s">
        <v>8</v>
      </c>
      <c r="B287" s="13" t="s">
        <v>28</v>
      </c>
      <c r="C287" s="13" t="s">
        <v>16</v>
      </c>
      <c r="D287" s="13" t="s">
        <v>17</v>
      </c>
      <c r="E287">
        <v>8</v>
      </c>
      <c r="F287" s="15">
        <v>2392</v>
      </c>
      <c r="G287" s="14">
        <v>600</v>
      </c>
      <c r="H287" s="14">
        <v>192.00000000000023</v>
      </c>
      <c r="I287" s="15">
        <v>299</v>
      </c>
    </row>
    <row r="288" spans="1:9" x14ac:dyDescent="0.3">
      <c r="A288" s="13" t="s">
        <v>8</v>
      </c>
      <c r="B288" s="13" t="s">
        <v>28</v>
      </c>
      <c r="C288" s="13" t="s">
        <v>18</v>
      </c>
      <c r="D288" s="13" t="s">
        <v>17</v>
      </c>
      <c r="E288">
        <v>12</v>
      </c>
      <c r="F288" s="15">
        <v>6900</v>
      </c>
      <c r="G288" s="14">
        <v>1672.3199999999997</v>
      </c>
      <c r="H288" s="14">
        <v>560.10857142857185</v>
      </c>
      <c r="I288" s="15">
        <v>575</v>
      </c>
    </row>
    <row r="289" spans="1:9" x14ac:dyDescent="0.3">
      <c r="A289" s="13" t="s">
        <v>8</v>
      </c>
      <c r="B289" s="13" t="s">
        <v>28</v>
      </c>
      <c r="C289" s="13" t="s">
        <v>19</v>
      </c>
      <c r="D289" s="13" t="s">
        <v>17</v>
      </c>
      <c r="E289">
        <v>64</v>
      </c>
      <c r="F289" s="15">
        <v>73600</v>
      </c>
      <c r="G289" s="14">
        <v>23526.639999999999</v>
      </c>
      <c r="H289" s="14">
        <v>5365.0028571428629</v>
      </c>
      <c r="I289" s="15">
        <v>1150</v>
      </c>
    </row>
    <row r="290" spans="1:9" x14ac:dyDescent="0.3">
      <c r="A290" s="13" t="s">
        <v>8</v>
      </c>
      <c r="B290" s="13" t="s">
        <v>28</v>
      </c>
      <c r="C290" s="13" t="s">
        <v>20</v>
      </c>
      <c r="D290" s="13" t="s">
        <v>14</v>
      </c>
      <c r="E290">
        <v>4</v>
      </c>
      <c r="F290" s="15">
        <v>3000</v>
      </c>
      <c r="G290" s="14">
        <v>1404</v>
      </c>
      <c r="H290" s="14">
        <v>76</v>
      </c>
      <c r="I290" s="15">
        <v>750</v>
      </c>
    </row>
    <row r="291" spans="1:9" x14ac:dyDescent="0.3">
      <c r="A291" s="13" t="s">
        <v>8</v>
      </c>
      <c r="B291" s="13" t="s">
        <v>28</v>
      </c>
      <c r="C291" s="13" t="s">
        <v>21</v>
      </c>
      <c r="D291" s="13" t="s">
        <v>11</v>
      </c>
      <c r="E291">
        <v>440</v>
      </c>
      <c r="F291" s="15">
        <v>528000</v>
      </c>
      <c r="G291" s="14">
        <v>227596.03999999998</v>
      </c>
      <c r="H291" s="14">
        <v>14304.950476190483</v>
      </c>
      <c r="I291" s="15">
        <v>1200</v>
      </c>
    </row>
    <row r="292" spans="1:9" x14ac:dyDescent="0.3">
      <c r="A292" s="13" t="s">
        <v>8</v>
      </c>
      <c r="B292" s="13" t="s">
        <v>28</v>
      </c>
      <c r="C292" s="13" t="s">
        <v>22</v>
      </c>
      <c r="D292" s="13" t="s">
        <v>23</v>
      </c>
      <c r="E292">
        <v>8</v>
      </c>
      <c r="F292" s="15">
        <v>1592</v>
      </c>
      <c r="G292" s="14">
        <v>400</v>
      </c>
      <c r="H292" s="14">
        <v>56.761904761904816</v>
      </c>
      <c r="I292" s="15">
        <v>199</v>
      </c>
    </row>
    <row r="293" spans="1:9" x14ac:dyDescent="0.3">
      <c r="A293" s="13" t="s">
        <v>8</v>
      </c>
      <c r="B293" s="13" t="s">
        <v>28</v>
      </c>
      <c r="C293" s="13" t="s">
        <v>24</v>
      </c>
      <c r="D293" s="13" t="s">
        <v>23</v>
      </c>
      <c r="E293">
        <v>120</v>
      </c>
      <c r="F293" s="15">
        <v>54000</v>
      </c>
      <c r="G293" s="14">
        <v>27600</v>
      </c>
      <c r="H293" s="14">
        <v>1257.1428571428587</v>
      </c>
      <c r="I293" s="15">
        <v>450</v>
      </c>
    </row>
    <row r="294" spans="1:9" x14ac:dyDescent="0.3">
      <c r="A294" s="13" t="s">
        <v>8</v>
      </c>
      <c r="B294" s="13" t="s">
        <v>28</v>
      </c>
      <c r="C294" s="13" t="s">
        <v>25</v>
      </c>
      <c r="D294" s="13" t="s">
        <v>23</v>
      </c>
      <c r="E294">
        <v>4</v>
      </c>
      <c r="F294" s="15">
        <v>3600</v>
      </c>
      <c r="G294" s="14">
        <v>1604</v>
      </c>
      <c r="H294" s="14">
        <v>304.47457627118638</v>
      </c>
      <c r="I294" s="15">
        <v>900</v>
      </c>
    </row>
    <row r="295" spans="1:9" x14ac:dyDescent="0.3">
      <c r="A295" s="13" t="s">
        <v>8</v>
      </c>
      <c r="B295" s="13" t="s">
        <v>28</v>
      </c>
      <c r="C295" s="13" t="s">
        <v>26</v>
      </c>
      <c r="D295" s="13" t="s">
        <v>27</v>
      </c>
      <c r="E295">
        <v>4</v>
      </c>
      <c r="F295" s="15">
        <v>9400</v>
      </c>
      <c r="G295" s="14">
        <v>2600</v>
      </c>
      <c r="H295" s="14">
        <v>728.57142857142935</v>
      </c>
      <c r="I295" s="15">
        <v>2350</v>
      </c>
    </row>
    <row r="296" spans="1:9" x14ac:dyDescent="0.3">
      <c r="A296" s="13" t="s">
        <v>8</v>
      </c>
      <c r="B296" s="13" t="s">
        <v>28</v>
      </c>
      <c r="C296" s="13" t="s">
        <v>13</v>
      </c>
      <c r="D296" s="13" t="s">
        <v>14</v>
      </c>
      <c r="E296">
        <v>368</v>
      </c>
      <c r="F296" s="15">
        <v>138000</v>
      </c>
      <c r="G296" s="14">
        <v>94411.16</v>
      </c>
      <c r="H296" s="14">
        <v>2075.6590476190468</v>
      </c>
      <c r="I296" s="15">
        <v>375</v>
      </c>
    </row>
    <row r="297" spans="1:9" x14ac:dyDescent="0.3">
      <c r="A297" s="13" t="s">
        <v>8</v>
      </c>
      <c r="B297" s="13" t="s">
        <v>28</v>
      </c>
      <c r="C297" s="13" t="s">
        <v>18</v>
      </c>
      <c r="D297" s="13" t="s">
        <v>17</v>
      </c>
      <c r="E297">
        <v>4</v>
      </c>
      <c r="F297" s="15">
        <v>2300</v>
      </c>
      <c r="G297" s="14">
        <v>504</v>
      </c>
      <c r="H297" s="14">
        <v>192.42857142857156</v>
      </c>
      <c r="I297" s="15">
        <v>575</v>
      </c>
    </row>
    <row r="298" spans="1:9" x14ac:dyDescent="0.3">
      <c r="A298" s="13" t="s">
        <v>8</v>
      </c>
      <c r="B298" s="13" t="s">
        <v>28</v>
      </c>
      <c r="C298" s="13" t="s">
        <v>19</v>
      </c>
      <c r="D298" s="13" t="s">
        <v>17</v>
      </c>
      <c r="E298">
        <v>104</v>
      </c>
      <c r="F298" s="15">
        <v>119600</v>
      </c>
      <c r="G298" s="14">
        <v>38248.44</v>
      </c>
      <c r="H298" s="14">
        <v>8716.2385714285774</v>
      </c>
      <c r="I298" s="15">
        <v>1150</v>
      </c>
    </row>
    <row r="299" spans="1:9" x14ac:dyDescent="0.3">
      <c r="A299" s="13" t="s">
        <v>8</v>
      </c>
      <c r="B299" s="13" t="s">
        <v>28</v>
      </c>
      <c r="C299" s="13" t="s">
        <v>21</v>
      </c>
      <c r="D299" s="13" t="s">
        <v>11</v>
      </c>
      <c r="E299">
        <v>472</v>
      </c>
      <c r="F299" s="15">
        <v>566400</v>
      </c>
      <c r="G299" s="14">
        <v>244997.95999999996</v>
      </c>
      <c r="H299" s="14">
        <v>15304.859047619044</v>
      </c>
      <c r="I299" s="15">
        <v>1200</v>
      </c>
    </row>
    <row r="300" spans="1:9" x14ac:dyDescent="0.3">
      <c r="A300" s="13" t="s">
        <v>8</v>
      </c>
      <c r="B300" s="13" t="s">
        <v>28</v>
      </c>
      <c r="C300" s="13" t="s">
        <v>24</v>
      </c>
      <c r="D300" s="13" t="s">
        <v>23</v>
      </c>
      <c r="E300">
        <v>88</v>
      </c>
      <c r="F300" s="15">
        <v>39600</v>
      </c>
      <c r="G300" s="14">
        <v>20281.919999999998</v>
      </c>
      <c r="H300" s="14">
        <v>919.90857142857203</v>
      </c>
      <c r="I300" s="15">
        <v>450</v>
      </c>
    </row>
    <row r="301" spans="1:9" x14ac:dyDescent="0.3">
      <c r="A301" s="13" t="s">
        <v>8</v>
      </c>
      <c r="B301" s="13" t="s">
        <v>28</v>
      </c>
      <c r="C301" s="13" t="s">
        <v>25</v>
      </c>
      <c r="D301" s="13" t="s">
        <v>23</v>
      </c>
      <c r="E301">
        <v>4</v>
      </c>
      <c r="F301" s="15">
        <v>3600</v>
      </c>
      <c r="G301" s="14">
        <v>1604</v>
      </c>
      <c r="H301" s="14">
        <v>304.47457627118638</v>
      </c>
      <c r="I301" s="15">
        <v>900</v>
      </c>
    </row>
    <row r="302" spans="1:9" x14ac:dyDescent="0.3">
      <c r="A302" s="13" t="s">
        <v>8</v>
      </c>
      <c r="B302" s="13" t="s">
        <v>28</v>
      </c>
      <c r="C302" s="13" t="s">
        <v>10</v>
      </c>
      <c r="D302" s="13" t="s">
        <v>11</v>
      </c>
      <c r="E302">
        <v>4</v>
      </c>
      <c r="F302" s="15">
        <v>1340</v>
      </c>
      <c r="G302" s="14">
        <v>144</v>
      </c>
      <c r="H302" s="14">
        <v>56.952380952380963</v>
      </c>
      <c r="I302" s="15">
        <v>335</v>
      </c>
    </row>
    <row r="303" spans="1:9" x14ac:dyDescent="0.3">
      <c r="A303" s="13" t="s">
        <v>8</v>
      </c>
      <c r="B303" s="13" t="s">
        <v>28</v>
      </c>
      <c r="C303" s="13" t="s">
        <v>12</v>
      </c>
      <c r="D303" s="13" t="s">
        <v>11</v>
      </c>
      <c r="E303">
        <v>12</v>
      </c>
      <c r="F303" s="15">
        <v>7200</v>
      </c>
      <c r="G303" s="14">
        <v>1812</v>
      </c>
      <c r="H303" s="14">
        <v>256.57142857142844</v>
      </c>
      <c r="I303" s="15">
        <v>600</v>
      </c>
    </row>
    <row r="304" spans="1:9" x14ac:dyDescent="0.3">
      <c r="A304" s="13" t="s">
        <v>8</v>
      </c>
      <c r="B304" s="13" t="s">
        <v>28</v>
      </c>
      <c r="C304" s="13" t="s">
        <v>13</v>
      </c>
      <c r="D304" s="13" t="s">
        <v>14</v>
      </c>
      <c r="E304">
        <v>252</v>
      </c>
      <c r="F304" s="15">
        <v>94500</v>
      </c>
      <c r="G304" s="14">
        <v>64465.56</v>
      </c>
      <c r="H304" s="14">
        <v>1430.2114285714306</v>
      </c>
      <c r="I304" s="15">
        <v>375</v>
      </c>
    </row>
    <row r="305" spans="1:9" x14ac:dyDescent="0.3">
      <c r="A305" s="13" t="s">
        <v>8</v>
      </c>
      <c r="B305" s="13" t="s">
        <v>28</v>
      </c>
      <c r="C305" s="13" t="s">
        <v>18</v>
      </c>
      <c r="D305" s="13" t="s">
        <v>17</v>
      </c>
      <c r="E305">
        <v>20</v>
      </c>
      <c r="F305" s="15">
        <v>11500</v>
      </c>
      <c r="G305" s="14">
        <v>2760.5200000000041</v>
      </c>
      <c r="H305" s="14">
        <v>936.37285714285736</v>
      </c>
      <c r="I305" s="15">
        <v>575</v>
      </c>
    </row>
    <row r="306" spans="1:9" x14ac:dyDescent="0.3">
      <c r="A306" s="13" t="s">
        <v>8</v>
      </c>
      <c r="B306" s="13" t="s">
        <v>28</v>
      </c>
      <c r="C306" s="13" t="s">
        <v>19</v>
      </c>
      <c r="D306" s="13" t="s">
        <v>17</v>
      </c>
      <c r="E306">
        <v>60</v>
      </c>
      <c r="F306" s="15">
        <v>69000</v>
      </c>
      <c r="G306" s="14">
        <v>22082.680000000008</v>
      </c>
      <c r="H306" s="14">
        <v>5026.8557142857171</v>
      </c>
      <c r="I306" s="15">
        <v>1150</v>
      </c>
    </row>
    <row r="307" spans="1:9" x14ac:dyDescent="0.3">
      <c r="A307" s="13" t="s">
        <v>8</v>
      </c>
      <c r="B307" s="13" t="s">
        <v>28</v>
      </c>
      <c r="C307" s="13" t="s">
        <v>20</v>
      </c>
      <c r="D307" s="13" t="s">
        <v>14</v>
      </c>
      <c r="E307">
        <v>4</v>
      </c>
      <c r="F307" s="15">
        <v>3000</v>
      </c>
      <c r="G307" s="14">
        <v>1404</v>
      </c>
      <c r="H307" s="14">
        <v>76</v>
      </c>
      <c r="I307" s="15">
        <v>750</v>
      </c>
    </row>
    <row r="308" spans="1:9" x14ac:dyDescent="0.3">
      <c r="A308" s="13" t="s">
        <v>8</v>
      </c>
      <c r="B308" s="13" t="s">
        <v>28</v>
      </c>
      <c r="C308" s="13" t="s">
        <v>21</v>
      </c>
      <c r="D308" s="13" t="s">
        <v>11</v>
      </c>
      <c r="E308">
        <v>408</v>
      </c>
      <c r="F308" s="15">
        <v>489600</v>
      </c>
      <c r="G308" s="14">
        <v>210850.32</v>
      </c>
      <c r="H308" s="14">
        <v>13273.794285714277</v>
      </c>
      <c r="I308" s="15">
        <v>1200</v>
      </c>
    </row>
    <row r="309" spans="1:9" x14ac:dyDescent="0.3">
      <c r="A309" s="13" t="s">
        <v>8</v>
      </c>
      <c r="B309" s="13" t="s">
        <v>28</v>
      </c>
      <c r="C309" s="13" t="s">
        <v>22</v>
      </c>
      <c r="D309" s="13" t="s">
        <v>23</v>
      </c>
      <c r="E309">
        <v>8</v>
      </c>
      <c r="F309" s="15">
        <v>1592</v>
      </c>
      <c r="G309" s="14">
        <v>400</v>
      </c>
      <c r="H309" s="14">
        <v>56.761904761904816</v>
      </c>
      <c r="I309" s="15">
        <v>199</v>
      </c>
    </row>
    <row r="310" spans="1:9" x14ac:dyDescent="0.3">
      <c r="A310" s="13" t="s">
        <v>8</v>
      </c>
      <c r="B310" s="13" t="s">
        <v>28</v>
      </c>
      <c r="C310" s="13" t="s">
        <v>24</v>
      </c>
      <c r="D310" s="13" t="s">
        <v>23</v>
      </c>
      <c r="E310">
        <v>80</v>
      </c>
      <c r="F310" s="15">
        <v>36000</v>
      </c>
      <c r="G310" s="14">
        <v>18400</v>
      </c>
      <c r="H310" s="14">
        <v>838.09523809524035</v>
      </c>
      <c r="I310" s="15">
        <v>450</v>
      </c>
    </row>
    <row r="311" spans="1:9" x14ac:dyDescent="0.3">
      <c r="A311" s="13" t="s">
        <v>8</v>
      </c>
      <c r="B311" s="13" t="s">
        <v>28</v>
      </c>
      <c r="C311" s="13" t="s">
        <v>12</v>
      </c>
      <c r="D311" s="13" t="s">
        <v>11</v>
      </c>
      <c r="E311">
        <v>4</v>
      </c>
      <c r="F311" s="15">
        <v>2400</v>
      </c>
      <c r="G311" s="14">
        <v>775.04</v>
      </c>
      <c r="H311" s="14">
        <v>77.379047619047697</v>
      </c>
      <c r="I311" s="15">
        <v>600</v>
      </c>
    </row>
    <row r="312" spans="1:9" x14ac:dyDescent="0.3">
      <c r="A312" s="13" t="s">
        <v>8</v>
      </c>
      <c r="B312" s="13" t="s">
        <v>28</v>
      </c>
      <c r="C312" s="13" t="s">
        <v>13</v>
      </c>
      <c r="D312" s="13" t="s">
        <v>14</v>
      </c>
      <c r="E312">
        <v>300</v>
      </c>
      <c r="F312" s="15">
        <v>112500</v>
      </c>
      <c r="G312" s="14">
        <v>76637.040000000008</v>
      </c>
      <c r="H312" s="14">
        <v>1707.760000000002</v>
      </c>
      <c r="I312" s="15">
        <v>375</v>
      </c>
    </row>
    <row r="313" spans="1:9" x14ac:dyDescent="0.3">
      <c r="A313" s="13" t="s">
        <v>8</v>
      </c>
      <c r="B313" s="13" t="s">
        <v>28</v>
      </c>
      <c r="C313" s="13" t="s">
        <v>15</v>
      </c>
      <c r="D313" s="13" t="s">
        <v>14</v>
      </c>
      <c r="E313">
        <v>4</v>
      </c>
      <c r="F313" s="15">
        <v>660</v>
      </c>
      <c r="G313" s="14">
        <v>120</v>
      </c>
      <c r="H313" s="14">
        <v>25.714285714285779</v>
      </c>
      <c r="I313" s="15">
        <v>165</v>
      </c>
    </row>
    <row r="314" spans="1:9" x14ac:dyDescent="0.3">
      <c r="A314" s="13" t="s">
        <v>8</v>
      </c>
      <c r="B314" s="13" t="s">
        <v>28</v>
      </c>
      <c r="C314" s="13" t="s">
        <v>18</v>
      </c>
      <c r="D314" s="13" t="s">
        <v>17</v>
      </c>
      <c r="E314">
        <v>12</v>
      </c>
      <c r="F314" s="15">
        <v>6900</v>
      </c>
      <c r="G314" s="14">
        <v>1512</v>
      </c>
      <c r="H314" s="14">
        <v>577.28571428571468</v>
      </c>
      <c r="I314" s="15">
        <v>575</v>
      </c>
    </row>
    <row r="315" spans="1:9" x14ac:dyDescent="0.3">
      <c r="A315" s="13" t="s">
        <v>8</v>
      </c>
      <c r="B315" s="13" t="s">
        <v>28</v>
      </c>
      <c r="C315" s="13" t="s">
        <v>19</v>
      </c>
      <c r="D315" s="13" t="s">
        <v>17</v>
      </c>
      <c r="E315">
        <v>96</v>
      </c>
      <c r="F315" s="15">
        <v>110400</v>
      </c>
      <c r="G315" s="14">
        <v>35078.680000000008</v>
      </c>
      <c r="H315" s="14">
        <v>8070.1414285714272</v>
      </c>
      <c r="I315" s="15">
        <v>1150</v>
      </c>
    </row>
    <row r="316" spans="1:9" x14ac:dyDescent="0.3">
      <c r="A316" s="13" t="s">
        <v>8</v>
      </c>
      <c r="B316" s="13" t="s">
        <v>28</v>
      </c>
      <c r="C316" s="13" t="s">
        <v>21</v>
      </c>
      <c r="D316" s="13" t="s">
        <v>11</v>
      </c>
      <c r="E316">
        <v>500</v>
      </c>
      <c r="F316" s="15">
        <v>600000</v>
      </c>
      <c r="G316" s="14">
        <v>258780.99999999988</v>
      </c>
      <c r="H316" s="14">
        <v>16248.523809523846</v>
      </c>
      <c r="I316" s="15">
        <v>1200</v>
      </c>
    </row>
    <row r="317" spans="1:9" x14ac:dyDescent="0.3">
      <c r="A317" s="13" t="s">
        <v>8</v>
      </c>
      <c r="B317" s="13" t="s">
        <v>28</v>
      </c>
      <c r="C317" s="13" t="s">
        <v>24</v>
      </c>
      <c r="D317" s="13" t="s">
        <v>23</v>
      </c>
      <c r="E317">
        <v>80</v>
      </c>
      <c r="F317" s="15">
        <v>36000</v>
      </c>
      <c r="G317" s="14">
        <v>18525.760000000002</v>
      </c>
      <c r="H317" s="14">
        <v>832.10666666666657</v>
      </c>
      <c r="I317" s="15">
        <v>450</v>
      </c>
    </row>
    <row r="318" spans="1:9" x14ac:dyDescent="0.3">
      <c r="A318" s="13" t="s">
        <v>8</v>
      </c>
      <c r="B318" s="13" t="s">
        <v>28</v>
      </c>
      <c r="C318" s="13" t="s">
        <v>12</v>
      </c>
      <c r="D318" s="13" t="s">
        <v>11</v>
      </c>
      <c r="E318">
        <v>8</v>
      </c>
      <c r="F318" s="15">
        <v>4800</v>
      </c>
      <c r="G318" s="14">
        <v>1208</v>
      </c>
      <c r="H318" s="14">
        <v>171.04761904761926</v>
      </c>
      <c r="I318" s="15">
        <v>600</v>
      </c>
    </row>
    <row r="319" spans="1:9" x14ac:dyDescent="0.3">
      <c r="A319" s="13" t="s">
        <v>8</v>
      </c>
      <c r="B319" s="13" t="s">
        <v>28</v>
      </c>
      <c r="C319" s="13" t="s">
        <v>13</v>
      </c>
      <c r="D319" s="13" t="s">
        <v>14</v>
      </c>
      <c r="E319">
        <v>340</v>
      </c>
      <c r="F319" s="15">
        <v>127500</v>
      </c>
      <c r="G319" s="14">
        <v>87271</v>
      </c>
      <c r="H319" s="14">
        <v>1915.6666666666715</v>
      </c>
      <c r="I319" s="15">
        <v>375</v>
      </c>
    </row>
    <row r="320" spans="1:9" x14ac:dyDescent="0.3">
      <c r="A320" s="13" t="s">
        <v>8</v>
      </c>
      <c r="B320" s="13" t="s">
        <v>28</v>
      </c>
      <c r="C320" s="13" t="s">
        <v>18</v>
      </c>
      <c r="D320" s="13" t="s">
        <v>17</v>
      </c>
      <c r="E320">
        <v>20</v>
      </c>
      <c r="F320" s="15">
        <v>11500</v>
      </c>
      <c r="G320" s="14">
        <v>2760.5200000000041</v>
      </c>
      <c r="H320" s="14">
        <v>936.37285714285736</v>
      </c>
      <c r="I320" s="15">
        <v>575</v>
      </c>
    </row>
    <row r="321" spans="1:9" x14ac:dyDescent="0.3">
      <c r="A321" s="13" t="s">
        <v>8</v>
      </c>
      <c r="B321" s="13" t="s">
        <v>28</v>
      </c>
      <c r="C321" s="13" t="s">
        <v>19</v>
      </c>
      <c r="D321" s="13" t="s">
        <v>17</v>
      </c>
      <c r="E321">
        <v>104</v>
      </c>
      <c r="F321" s="15">
        <v>119600</v>
      </c>
      <c r="G321" s="14">
        <v>38530.199999999997</v>
      </c>
      <c r="H321" s="14">
        <v>8686.0500000000029</v>
      </c>
      <c r="I321" s="15">
        <v>1150</v>
      </c>
    </row>
    <row r="322" spans="1:9" x14ac:dyDescent="0.3">
      <c r="A322" s="13" t="s">
        <v>8</v>
      </c>
      <c r="B322" s="13" t="s">
        <v>28</v>
      </c>
      <c r="C322" s="13" t="s">
        <v>20</v>
      </c>
      <c r="D322" s="13" t="s">
        <v>14</v>
      </c>
      <c r="E322">
        <v>8</v>
      </c>
      <c r="F322" s="15">
        <v>6000</v>
      </c>
      <c r="G322" s="14">
        <v>2808</v>
      </c>
      <c r="H322" s="14">
        <v>152</v>
      </c>
      <c r="I322" s="15">
        <v>750</v>
      </c>
    </row>
    <row r="323" spans="1:9" x14ac:dyDescent="0.3">
      <c r="A323" s="13" t="s">
        <v>8</v>
      </c>
      <c r="B323" s="13" t="s">
        <v>28</v>
      </c>
      <c r="C323" s="13" t="s">
        <v>21</v>
      </c>
      <c r="D323" s="13" t="s">
        <v>11</v>
      </c>
      <c r="E323">
        <v>356</v>
      </c>
      <c r="F323" s="15">
        <v>427200</v>
      </c>
      <c r="G323" s="14">
        <v>184015.84</v>
      </c>
      <c r="H323" s="14">
        <v>11580.198095238098</v>
      </c>
      <c r="I323" s="15">
        <v>1200</v>
      </c>
    </row>
    <row r="324" spans="1:9" x14ac:dyDescent="0.3">
      <c r="A324" s="13" t="s">
        <v>8</v>
      </c>
      <c r="B324" s="13" t="s">
        <v>28</v>
      </c>
      <c r="C324" s="13" t="s">
        <v>22</v>
      </c>
      <c r="D324" s="13" t="s">
        <v>23</v>
      </c>
      <c r="E324">
        <v>4</v>
      </c>
      <c r="F324" s="15">
        <v>796</v>
      </c>
      <c r="G324" s="14">
        <v>200</v>
      </c>
      <c r="H324" s="14">
        <v>28.380952380952408</v>
      </c>
      <c r="I324" s="15">
        <v>199</v>
      </c>
    </row>
    <row r="325" spans="1:9" x14ac:dyDescent="0.3">
      <c r="A325" s="13" t="s">
        <v>8</v>
      </c>
      <c r="B325" s="13" t="s">
        <v>28</v>
      </c>
      <c r="C325" s="13" t="s">
        <v>24</v>
      </c>
      <c r="D325" s="13" t="s">
        <v>23</v>
      </c>
      <c r="E325">
        <v>104</v>
      </c>
      <c r="F325" s="15">
        <v>46800</v>
      </c>
      <c r="G325" s="14">
        <v>23920</v>
      </c>
      <c r="H325" s="14">
        <v>1089.5238095238092</v>
      </c>
      <c r="I325" s="15">
        <v>450</v>
      </c>
    </row>
    <row r="326" spans="1:9" x14ac:dyDescent="0.3">
      <c r="A326" s="13" t="s">
        <v>8</v>
      </c>
      <c r="B326" s="13" t="s">
        <v>28</v>
      </c>
      <c r="C326" s="13" t="s">
        <v>12</v>
      </c>
      <c r="D326" s="13" t="s">
        <v>11</v>
      </c>
      <c r="E326">
        <v>12</v>
      </c>
      <c r="F326" s="15">
        <v>7200</v>
      </c>
      <c r="G326" s="14">
        <v>1812</v>
      </c>
      <c r="H326" s="14">
        <v>256.57142857142844</v>
      </c>
      <c r="I326" s="15">
        <v>600</v>
      </c>
    </row>
    <row r="327" spans="1:9" x14ac:dyDescent="0.3">
      <c r="A327" s="13" t="s">
        <v>8</v>
      </c>
      <c r="B327" s="13" t="s">
        <v>28</v>
      </c>
      <c r="C327" s="13" t="s">
        <v>13</v>
      </c>
      <c r="D327" s="13" t="s">
        <v>14</v>
      </c>
      <c r="E327">
        <v>384</v>
      </c>
      <c r="F327" s="15">
        <v>144000</v>
      </c>
      <c r="G327" s="14">
        <v>98102.720000000001</v>
      </c>
      <c r="H327" s="14">
        <v>2185.5847619047636</v>
      </c>
      <c r="I327" s="15">
        <v>375</v>
      </c>
    </row>
    <row r="328" spans="1:9" x14ac:dyDescent="0.3">
      <c r="A328" s="13" t="s">
        <v>8</v>
      </c>
      <c r="B328" s="13" t="s">
        <v>28</v>
      </c>
      <c r="C328" s="13" t="s">
        <v>16</v>
      </c>
      <c r="D328" s="13" t="s">
        <v>17</v>
      </c>
      <c r="E328">
        <v>8</v>
      </c>
      <c r="F328" s="15">
        <v>2392</v>
      </c>
      <c r="G328" s="14">
        <v>600</v>
      </c>
      <c r="H328" s="14">
        <v>192.00000000000023</v>
      </c>
      <c r="I328" s="15">
        <v>299</v>
      </c>
    </row>
    <row r="329" spans="1:9" x14ac:dyDescent="0.3">
      <c r="A329" s="13" t="s">
        <v>8</v>
      </c>
      <c r="B329" s="13" t="s">
        <v>28</v>
      </c>
      <c r="C329" s="13" t="s">
        <v>18</v>
      </c>
      <c r="D329" s="13" t="s">
        <v>17</v>
      </c>
      <c r="E329">
        <v>12</v>
      </c>
      <c r="F329" s="15">
        <v>6900</v>
      </c>
      <c r="G329" s="14">
        <v>1672.3600000000042</v>
      </c>
      <c r="H329" s="14">
        <v>560.10428571428565</v>
      </c>
      <c r="I329" s="15">
        <v>575</v>
      </c>
    </row>
    <row r="330" spans="1:9" x14ac:dyDescent="0.3">
      <c r="A330" s="13" t="s">
        <v>8</v>
      </c>
      <c r="B330" s="13" t="s">
        <v>28</v>
      </c>
      <c r="C330" s="13" t="s">
        <v>19</v>
      </c>
      <c r="D330" s="13" t="s">
        <v>17</v>
      </c>
      <c r="E330">
        <v>124</v>
      </c>
      <c r="F330" s="15">
        <v>142600</v>
      </c>
      <c r="G330" s="14">
        <v>45609.36</v>
      </c>
      <c r="H330" s="14">
        <v>10391.854285714289</v>
      </c>
      <c r="I330" s="15">
        <v>1150</v>
      </c>
    </row>
    <row r="331" spans="1:9" x14ac:dyDescent="0.3">
      <c r="A331" s="13" t="s">
        <v>8</v>
      </c>
      <c r="B331" s="13" t="s">
        <v>28</v>
      </c>
      <c r="C331" s="13" t="s">
        <v>21</v>
      </c>
      <c r="D331" s="13" t="s">
        <v>11</v>
      </c>
      <c r="E331">
        <v>424</v>
      </c>
      <c r="F331" s="15">
        <v>508800</v>
      </c>
      <c r="G331" s="14">
        <v>218763.83999999997</v>
      </c>
      <c r="H331" s="14">
        <v>13811.245714285702</v>
      </c>
      <c r="I331" s="15">
        <v>1200</v>
      </c>
    </row>
    <row r="332" spans="1:9" x14ac:dyDescent="0.3">
      <c r="A332" s="13" t="s">
        <v>8</v>
      </c>
      <c r="B332" s="13" t="s">
        <v>28</v>
      </c>
      <c r="C332" s="13" t="s">
        <v>24</v>
      </c>
      <c r="D332" s="13" t="s">
        <v>23</v>
      </c>
      <c r="E332">
        <v>116</v>
      </c>
      <c r="F332" s="15">
        <v>52200</v>
      </c>
      <c r="G332" s="14">
        <v>26805.759999999998</v>
      </c>
      <c r="H332" s="14">
        <v>1209.2495238095253</v>
      </c>
      <c r="I332" s="15">
        <v>450</v>
      </c>
    </row>
    <row r="333" spans="1:9" x14ac:dyDescent="0.3">
      <c r="A333" s="13" t="s">
        <v>8</v>
      </c>
      <c r="B333" s="13" t="s">
        <v>28</v>
      </c>
      <c r="C333" s="13" t="s">
        <v>25</v>
      </c>
      <c r="D333" s="13" t="s">
        <v>23</v>
      </c>
      <c r="E333">
        <v>8</v>
      </c>
      <c r="F333" s="15">
        <v>7200</v>
      </c>
      <c r="G333" s="14">
        <v>3303.04</v>
      </c>
      <c r="H333" s="14">
        <v>594.45152542372853</v>
      </c>
      <c r="I333" s="15">
        <v>900</v>
      </c>
    </row>
    <row r="334" spans="1:9" x14ac:dyDescent="0.3">
      <c r="A334" s="13" t="s">
        <v>8</v>
      </c>
      <c r="B334" s="13" t="s">
        <v>28</v>
      </c>
      <c r="C334" s="13" t="s">
        <v>12</v>
      </c>
      <c r="D334" s="13" t="s">
        <v>11</v>
      </c>
      <c r="E334">
        <v>20</v>
      </c>
      <c r="F334" s="15">
        <v>12000</v>
      </c>
      <c r="G334" s="14">
        <v>3020</v>
      </c>
      <c r="H334" s="14">
        <v>427.61904761904771</v>
      </c>
      <c r="I334" s="15">
        <v>600</v>
      </c>
    </row>
    <row r="335" spans="1:9" x14ac:dyDescent="0.3">
      <c r="A335" s="13" t="s">
        <v>8</v>
      </c>
      <c r="B335" s="13" t="s">
        <v>28</v>
      </c>
      <c r="C335" s="13" t="s">
        <v>13</v>
      </c>
      <c r="D335" s="13" t="s">
        <v>14</v>
      </c>
      <c r="E335">
        <v>436</v>
      </c>
      <c r="F335" s="15">
        <v>163500</v>
      </c>
      <c r="G335" s="14">
        <v>111499.76000000001</v>
      </c>
      <c r="H335" s="14">
        <v>2476.2019047619033</v>
      </c>
      <c r="I335" s="15">
        <v>375</v>
      </c>
    </row>
    <row r="336" spans="1:9" x14ac:dyDescent="0.3">
      <c r="A336" s="13" t="s">
        <v>8</v>
      </c>
      <c r="B336" s="13" t="s">
        <v>28</v>
      </c>
      <c r="C336" s="13" t="s">
        <v>16</v>
      </c>
      <c r="D336" s="13" t="s">
        <v>17</v>
      </c>
      <c r="E336">
        <v>8</v>
      </c>
      <c r="F336" s="15">
        <v>2392</v>
      </c>
      <c r="G336" s="14">
        <v>600</v>
      </c>
      <c r="H336" s="14">
        <v>192.00000000000023</v>
      </c>
      <c r="I336" s="15">
        <v>299</v>
      </c>
    </row>
    <row r="337" spans="1:9" x14ac:dyDescent="0.3">
      <c r="A337" s="13" t="s">
        <v>8</v>
      </c>
      <c r="B337" s="13" t="s">
        <v>28</v>
      </c>
      <c r="C337" s="13" t="s">
        <v>18</v>
      </c>
      <c r="D337" s="13" t="s">
        <v>17</v>
      </c>
      <c r="E337">
        <v>12</v>
      </c>
      <c r="F337" s="15">
        <v>6900</v>
      </c>
      <c r="G337" s="14">
        <v>1512</v>
      </c>
      <c r="H337" s="14">
        <v>577.28571428571468</v>
      </c>
      <c r="I337" s="15">
        <v>575</v>
      </c>
    </row>
    <row r="338" spans="1:9" x14ac:dyDescent="0.3">
      <c r="A338" s="13" t="s">
        <v>8</v>
      </c>
      <c r="B338" s="13" t="s">
        <v>28</v>
      </c>
      <c r="C338" s="13" t="s">
        <v>19</v>
      </c>
      <c r="D338" s="13" t="s">
        <v>17</v>
      </c>
      <c r="E338">
        <v>80</v>
      </c>
      <c r="F338" s="15">
        <v>92000</v>
      </c>
      <c r="G338" s="14">
        <v>29302.680000000008</v>
      </c>
      <c r="H338" s="14">
        <v>6717.570000000007</v>
      </c>
      <c r="I338" s="15">
        <v>1150</v>
      </c>
    </row>
    <row r="339" spans="1:9" x14ac:dyDescent="0.3">
      <c r="A339" s="13" t="s">
        <v>8</v>
      </c>
      <c r="B339" s="13" t="s">
        <v>28</v>
      </c>
      <c r="C339" s="13" t="s">
        <v>21</v>
      </c>
      <c r="D339" s="13" t="s">
        <v>11</v>
      </c>
      <c r="E339">
        <v>536</v>
      </c>
      <c r="F339" s="15">
        <v>643200</v>
      </c>
      <c r="G339" s="14">
        <v>282295.27999999991</v>
      </c>
      <c r="H339" s="14">
        <v>17185.93904761906</v>
      </c>
      <c r="I339" s="15">
        <v>1200</v>
      </c>
    </row>
    <row r="340" spans="1:9" x14ac:dyDescent="0.3">
      <c r="A340" s="13" t="s">
        <v>8</v>
      </c>
      <c r="B340" s="13" t="s">
        <v>28</v>
      </c>
      <c r="C340" s="13" t="s">
        <v>24</v>
      </c>
      <c r="D340" s="13" t="s">
        <v>23</v>
      </c>
      <c r="E340">
        <v>136</v>
      </c>
      <c r="F340" s="15">
        <v>61200</v>
      </c>
      <c r="G340" s="14">
        <v>31363.84</v>
      </c>
      <c r="H340" s="14">
        <v>1420.7695238095257</v>
      </c>
      <c r="I340" s="15">
        <v>450</v>
      </c>
    </row>
    <row r="341" spans="1:9" x14ac:dyDescent="0.3">
      <c r="A341" s="13" t="s">
        <v>8</v>
      </c>
      <c r="B341" s="13" t="s">
        <v>28</v>
      </c>
      <c r="C341" s="13" t="s">
        <v>12</v>
      </c>
      <c r="D341" s="13" t="s">
        <v>11</v>
      </c>
      <c r="E341">
        <v>8</v>
      </c>
      <c r="F341" s="15">
        <v>4800</v>
      </c>
      <c r="G341" s="14">
        <v>1208</v>
      </c>
      <c r="H341" s="14">
        <v>171.04761904761926</v>
      </c>
      <c r="I341" s="15">
        <v>600</v>
      </c>
    </row>
    <row r="342" spans="1:9" x14ac:dyDescent="0.3">
      <c r="A342" s="13" t="s">
        <v>8</v>
      </c>
      <c r="B342" s="13" t="s">
        <v>28</v>
      </c>
      <c r="C342" s="13" t="s">
        <v>13</v>
      </c>
      <c r="D342" s="13" t="s">
        <v>14</v>
      </c>
      <c r="E342">
        <v>312</v>
      </c>
      <c r="F342" s="15">
        <v>117000</v>
      </c>
      <c r="G342" s="14">
        <v>79948.44</v>
      </c>
      <c r="H342" s="14">
        <v>1764.3600000000006</v>
      </c>
      <c r="I342" s="15">
        <v>375</v>
      </c>
    </row>
    <row r="343" spans="1:9" x14ac:dyDescent="0.3">
      <c r="A343" s="13" t="s">
        <v>8</v>
      </c>
      <c r="B343" s="13" t="s">
        <v>28</v>
      </c>
      <c r="C343" s="13" t="s">
        <v>16</v>
      </c>
      <c r="D343" s="13" t="s">
        <v>17</v>
      </c>
      <c r="E343">
        <v>4</v>
      </c>
      <c r="F343" s="15">
        <v>1196</v>
      </c>
      <c r="G343" s="14">
        <v>300</v>
      </c>
      <c r="H343" s="14">
        <v>96.000000000000114</v>
      </c>
      <c r="I343" s="15">
        <v>299</v>
      </c>
    </row>
    <row r="344" spans="1:9" x14ac:dyDescent="0.3">
      <c r="A344" s="13" t="s">
        <v>8</v>
      </c>
      <c r="B344" s="13" t="s">
        <v>28</v>
      </c>
      <c r="C344" s="13" t="s">
        <v>18</v>
      </c>
      <c r="D344" s="13" t="s">
        <v>17</v>
      </c>
      <c r="E344">
        <v>28</v>
      </c>
      <c r="F344" s="15">
        <v>16100</v>
      </c>
      <c r="G344" s="14">
        <v>3728</v>
      </c>
      <c r="H344" s="14">
        <v>1325.5714285714294</v>
      </c>
      <c r="I344" s="15">
        <v>575</v>
      </c>
    </row>
    <row r="345" spans="1:9" x14ac:dyDescent="0.3">
      <c r="A345" s="13" t="s">
        <v>8</v>
      </c>
      <c r="B345" s="13" t="s">
        <v>28</v>
      </c>
      <c r="C345" s="13" t="s">
        <v>19</v>
      </c>
      <c r="D345" s="13" t="s">
        <v>17</v>
      </c>
      <c r="E345">
        <v>100</v>
      </c>
      <c r="F345" s="15">
        <v>115000</v>
      </c>
      <c r="G345" s="14">
        <v>35360.880000000005</v>
      </c>
      <c r="H345" s="14">
        <v>8532.762857142865</v>
      </c>
      <c r="I345" s="15">
        <v>1150</v>
      </c>
    </row>
    <row r="346" spans="1:9" x14ac:dyDescent="0.3">
      <c r="A346" s="13" t="s">
        <v>8</v>
      </c>
      <c r="B346" s="13" t="s">
        <v>28</v>
      </c>
      <c r="C346" s="13" t="s">
        <v>20</v>
      </c>
      <c r="D346" s="13" t="s">
        <v>14</v>
      </c>
      <c r="E346">
        <v>12</v>
      </c>
      <c r="F346" s="15">
        <v>9000</v>
      </c>
      <c r="G346" s="14">
        <v>4212</v>
      </c>
      <c r="H346" s="14">
        <v>228</v>
      </c>
      <c r="I346" s="15">
        <v>750</v>
      </c>
    </row>
    <row r="347" spans="1:9" x14ac:dyDescent="0.3">
      <c r="A347" s="13" t="s">
        <v>8</v>
      </c>
      <c r="B347" s="13" t="s">
        <v>28</v>
      </c>
      <c r="C347" s="13" t="s">
        <v>21</v>
      </c>
      <c r="D347" s="13" t="s">
        <v>11</v>
      </c>
      <c r="E347">
        <v>360</v>
      </c>
      <c r="F347" s="15">
        <v>432000</v>
      </c>
      <c r="G347" s="14">
        <v>185141.15999999997</v>
      </c>
      <c r="H347" s="14">
        <v>11755.182857142878</v>
      </c>
      <c r="I347" s="15">
        <v>1200</v>
      </c>
    </row>
    <row r="348" spans="1:9" x14ac:dyDescent="0.3">
      <c r="A348" s="13" t="s">
        <v>8</v>
      </c>
      <c r="B348" s="13" t="s">
        <v>28</v>
      </c>
      <c r="C348" s="13" t="s">
        <v>24</v>
      </c>
      <c r="D348" s="13" t="s">
        <v>23</v>
      </c>
      <c r="E348">
        <v>120</v>
      </c>
      <c r="F348" s="15">
        <v>54000</v>
      </c>
      <c r="G348" s="14">
        <v>27368</v>
      </c>
      <c r="H348" s="14">
        <v>1268.1904761904771</v>
      </c>
      <c r="I348" s="15">
        <v>450</v>
      </c>
    </row>
    <row r="349" spans="1:9" x14ac:dyDescent="0.3">
      <c r="A349" s="13" t="s">
        <v>29</v>
      </c>
      <c r="B349" s="13" t="s">
        <v>28</v>
      </c>
      <c r="C349" s="13" t="s">
        <v>13</v>
      </c>
      <c r="D349" s="13" t="s">
        <v>14</v>
      </c>
      <c r="E349">
        <v>120</v>
      </c>
      <c r="F349" s="15">
        <v>45000</v>
      </c>
      <c r="G349" s="14">
        <v>28760</v>
      </c>
      <c r="H349" s="14">
        <v>773.33333333333394</v>
      </c>
      <c r="I349" s="15">
        <v>375</v>
      </c>
    </row>
    <row r="350" spans="1:9" x14ac:dyDescent="0.3">
      <c r="A350" s="13" t="s">
        <v>29</v>
      </c>
      <c r="B350" s="13" t="s">
        <v>28</v>
      </c>
      <c r="C350" s="13" t="s">
        <v>15</v>
      </c>
      <c r="D350" s="13" t="s">
        <v>14</v>
      </c>
      <c r="E350">
        <v>20</v>
      </c>
      <c r="F350" s="15">
        <v>3300</v>
      </c>
      <c r="G350" s="14">
        <v>1980</v>
      </c>
      <c r="H350" s="14">
        <v>62.85714285714289</v>
      </c>
      <c r="I350" s="15">
        <v>165</v>
      </c>
    </row>
    <row r="351" spans="1:9" x14ac:dyDescent="0.3">
      <c r="A351" s="13" t="s">
        <v>29</v>
      </c>
      <c r="B351" s="13" t="s">
        <v>28</v>
      </c>
      <c r="C351" s="13" t="s">
        <v>12</v>
      </c>
      <c r="D351" s="13" t="s">
        <v>11</v>
      </c>
      <c r="E351">
        <v>8</v>
      </c>
      <c r="F351" s="15">
        <v>4800</v>
      </c>
      <c r="G351" s="14">
        <v>1056</v>
      </c>
      <c r="H351" s="14">
        <v>178.28571428571422</v>
      </c>
      <c r="I351" s="15">
        <v>600</v>
      </c>
    </row>
    <row r="352" spans="1:9" x14ac:dyDescent="0.3">
      <c r="A352" s="13" t="s">
        <v>29</v>
      </c>
      <c r="B352" s="13" t="s">
        <v>28</v>
      </c>
      <c r="C352" s="13" t="s">
        <v>18</v>
      </c>
      <c r="D352" s="13" t="s">
        <v>17</v>
      </c>
      <c r="E352">
        <v>4</v>
      </c>
      <c r="F352" s="15">
        <v>2300</v>
      </c>
      <c r="G352" s="14">
        <v>504</v>
      </c>
      <c r="H352" s="14">
        <v>192.42857142857156</v>
      </c>
      <c r="I352" s="15">
        <v>575</v>
      </c>
    </row>
    <row r="353" spans="1:9" x14ac:dyDescent="0.3">
      <c r="A353" s="13" t="s">
        <v>29</v>
      </c>
      <c r="B353" s="13" t="s">
        <v>28</v>
      </c>
      <c r="C353" s="13" t="s">
        <v>22</v>
      </c>
      <c r="D353" s="13" t="s">
        <v>23</v>
      </c>
      <c r="E353">
        <v>44</v>
      </c>
      <c r="F353" s="15">
        <v>8756</v>
      </c>
      <c r="G353" s="14">
        <v>4400</v>
      </c>
      <c r="H353" s="14">
        <v>207.42857142857156</v>
      </c>
      <c r="I353" s="15">
        <v>199</v>
      </c>
    </row>
    <row r="354" spans="1:9" x14ac:dyDescent="0.3">
      <c r="A354" s="13" t="s">
        <v>29</v>
      </c>
      <c r="B354" s="13" t="s">
        <v>28</v>
      </c>
      <c r="C354" s="13" t="s">
        <v>25</v>
      </c>
      <c r="D354" s="13" t="s">
        <v>23</v>
      </c>
      <c r="E354">
        <v>20</v>
      </c>
      <c r="F354" s="15">
        <v>18000</v>
      </c>
      <c r="G354" s="14">
        <v>9200</v>
      </c>
      <c r="H354" s="14">
        <v>1342.3728813559319</v>
      </c>
      <c r="I354" s="15">
        <v>900</v>
      </c>
    </row>
    <row r="355" spans="1:9" x14ac:dyDescent="0.3">
      <c r="A355" s="13" t="s">
        <v>29</v>
      </c>
      <c r="B355" s="13" t="s">
        <v>28</v>
      </c>
      <c r="C355" s="13" t="s">
        <v>13</v>
      </c>
      <c r="D355" s="13" t="s">
        <v>14</v>
      </c>
      <c r="E355">
        <v>80</v>
      </c>
      <c r="F355" s="15">
        <v>30000</v>
      </c>
      <c r="G355" s="14">
        <v>19200</v>
      </c>
      <c r="H355" s="14">
        <v>514.28571428571558</v>
      </c>
      <c r="I355" s="15">
        <v>375</v>
      </c>
    </row>
    <row r="356" spans="1:9" x14ac:dyDescent="0.3">
      <c r="A356" s="13" t="s">
        <v>29</v>
      </c>
      <c r="B356" s="13" t="s">
        <v>28</v>
      </c>
      <c r="C356" s="13" t="s">
        <v>15</v>
      </c>
      <c r="D356" s="13" t="s">
        <v>14</v>
      </c>
      <c r="E356">
        <v>64</v>
      </c>
      <c r="F356" s="15">
        <v>10560</v>
      </c>
      <c r="G356" s="14">
        <v>6228</v>
      </c>
      <c r="H356" s="14">
        <v>206.28571428571468</v>
      </c>
      <c r="I356" s="15">
        <v>165</v>
      </c>
    </row>
    <row r="357" spans="1:9" x14ac:dyDescent="0.3">
      <c r="A357" s="13" t="s">
        <v>29</v>
      </c>
      <c r="B357" s="13" t="s">
        <v>28</v>
      </c>
      <c r="C357" s="13" t="s">
        <v>12</v>
      </c>
      <c r="D357" s="13" t="s">
        <v>11</v>
      </c>
      <c r="E357">
        <v>4</v>
      </c>
      <c r="F357" s="15">
        <v>2400</v>
      </c>
      <c r="G357" s="14">
        <v>624</v>
      </c>
      <c r="H357" s="14">
        <v>84.571428571428669</v>
      </c>
      <c r="I357" s="15">
        <v>600</v>
      </c>
    </row>
    <row r="358" spans="1:9" x14ac:dyDescent="0.3">
      <c r="A358" s="13" t="s">
        <v>29</v>
      </c>
      <c r="B358" s="13" t="s">
        <v>28</v>
      </c>
      <c r="C358" s="13" t="s">
        <v>10</v>
      </c>
      <c r="D358" s="13" t="s">
        <v>11</v>
      </c>
      <c r="E358">
        <v>4</v>
      </c>
      <c r="F358" s="15">
        <v>1340</v>
      </c>
      <c r="G358" s="14">
        <v>324</v>
      </c>
      <c r="H358" s="14">
        <v>48.380952380952408</v>
      </c>
      <c r="I358" s="15">
        <v>335</v>
      </c>
    </row>
    <row r="359" spans="1:9" x14ac:dyDescent="0.3">
      <c r="A359" s="13" t="s">
        <v>29</v>
      </c>
      <c r="B359" s="13" t="s">
        <v>28</v>
      </c>
      <c r="C359" s="13" t="s">
        <v>22</v>
      </c>
      <c r="D359" s="13" t="s">
        <v>23</v>
      </c>
      <c r="E359">
        <v>36</v>
      </c>
      <c r="F359" s="15">
        <v>7164</v>
      </c>
      <c r="G359" s="14">
        <v>3640</v>
      </c>
      <c r="H359" s="14">
        <v>167.80952380952385</v>
      </c>
      <c r="I359" s="15">
        <v>199</v>
      </c>
    </row>
    <row r="360" spans="1:9" x14ac:dyDescent="0.3">
      <c r="A360" s="13" t="s">
        <v>29</v>
      </c>
      <c r="B360" s="13" t="s">
        <v>28</v>
      </c>
      <c r="C360" s="13" t="s">
        <v>24</v>
      </c>
      <c r="D360" s="13" t="s">
        <v>23</v>
      </c>
      <c r="E360">
        <v>4</v>
      </c>
      <c r="F360" s="15">
        <v>1800</v>
      </c>
      <c r="G360" s="14">
        <v>184</v>
      </c>
      <c r="H360" s="14">
        <v>76.952380952380963</v>
      </c>
      <c r="I360" s="15">
        <v>450</v>
      </c>
    </row>
    <row r="361" spans="1:9" x14ac:dyDescent="0.3">
      <c r="A361" s="13" t="s">
        <v>29</v>
      </c>
      <c r="B361" s="13" t="s">
        <v>28</v>
      </c>
      <c r="C361" s="13" t="s">
        <v>25</v>
      </c>
      <c r="D361" s="13" t="s">
        <v>23</v>
      </c>
      <c r="E361">
        <v>12</v>
      </c>
      <c r="F361" s="15">
        <v>10800</v>
      </c>
      <c r="G361" s="14">
        <v>5472</v>
      </c>
      <c r="H361" s="14">
        <v>812.74576271186379</v>
      </c>
      <c r="I361" s="15">
        <v>900</v>
      </c>
    </row>
    <row r="362" spans="1:9" x14ac:dyDescent="0.3">
      <c r="A362" s="13" t="s">
        <v>29</v>
      </c>
      <c r="B362" s="13" t="s">
        <v>28</v>
      </c>
      <c r="C362" s="13" t="s">
        <v>13</v>
      </c>
      <c r="D362" s="13" t="s">
        <v>14</v>
      </c>
      <c r="E362">
        <v>60</v>
      </c>
      <c r="F362" s="15">
        <v>22500</v>
      </c>
      <c r="G362" s="14">
        <v>14400</v>
      </c>
      <c r="H362" s="14">
        <v>385.71428571428623</v>
      </c>
      <c r="I362" s="15">
        <v>375</v>
      </c>
    </row>
    <row r="363" spans="1:9" x14ac:dyDescent="0.3">
      <c r="A363" s="13" t="s">
        <v>29</v>
      </c>
      <c r="B363" s="13" t="s">
        <v>28</v>
      </c>
      <c r="C363" s="13" t="s">
        <v>15</v>
      </c>
      <c r="D363" s="13" t="s">
        <v>14</v>
      </c>
      <c r="E363">
        <v>40</v>
      </c>
      <c r="F363" s="15">
        <v>6600</v>
      </c>
      <c r="G363" s="14">
        <v>3952</v>
      </c>
      <c r="H363" s="14">
        <v>126.09523809523807</v>
      </c>
      <c r="I363" s="15">
        <v>165</v>
      </c>
    </row>
    <row r="364" spans="1:9" x14ac:dyDescent="0.3">
      <c r="A364" s="13" t="s">
        <v>29</v>
      </c>
      <c r="B364" s="13" t="s">
        <v>28</v>
      </c>
      <c r="C364" s="13" t="s">
        <v>12</v>
      </c>
      <c r="D364" s="13" t="s">
        <v>11</v>
      </c>
      <c r="E364">
        <v>16</v>
      </c>
      <c r="F364" s="15">
        <v>9600</v>
      </c>
      <c r="G364" s="14">
        <v>2568</v>
      </c>
      <c r="H364" s="14">
        <v>334.85714285714312</v>
      </c>
      <c r="I364" s="15">
        <v>600</v>
      </c>
    </row>
    <row r="365" spans="1:9" x14ac:dyDescent="0.3">
      <c r="A365" s="13" t="s">
        <v>29</v>
      </c>
      <c r="B365" s="13" t="s">
        <v>28</v>
      </c>
      <c r="C365" s="13" t="s">
        <v>10</v>
      </c>
      <c r="D365" s="13" t="s">
        <v>11</v>
      </c>
      <c r="E365">
        <v>4</v>
      </c>
      <c r="F365" s="15">
        <v>1340</v>
      </c>
      <c r="G365" s="14">
        <v>324</v>
      </c>
      <c r="H365" s="14">
        <v>48.380952380952408</v>
      </c>
      <c r="I365" s="15">
        <v>335</v>
      </c>
    </row>
    <row r="366" spans="1:9" x14ac:dyDescent="0.3">
      <c r="A366" s="13" t="s">
        <v>29</v>
      </c>
      <c r="B366" s="13" t="s">
        <v>28</v>
      </c>
      <c r="C366" s="13" t="s">
        <v>18</v>
      </c>
      <c r="D366" s="13" t="s">
        <v>17</v>
      </c>
      <c r="E366">
        <v>4</v>
      </c>
      <c r="F366" s="15">
        <v>2300</v>
      </c>
      <c r="G366" s="14">
        <v>544</v>
      </c>
      <c r="H366" s="14">
        <v>188.14285714285734</v>
      </c>
      <c r="I366" s="15">
        <v>575</v>
      </c>
    </row>
    <row r="367" spans="1:9" x14ac:dyDescent="0.3">
      <c r="A367" s="13" t="s">
        <v>29</v>
      </c>
      <c r="B367" s="13" t="s">
        <v>28</v>
      </c>
      <c r="C367" s="13" t="s">
        <v>21</v>
      </c>
      <c r="D367" s="13" t="s">
        <v>11</v>
      </c>
      <c r="E367">
        <v>4</v>
      </c>
      <c r="F367" s="15">
        <v>4800</v>
      </c>
      <c r="G367" s="14">
        <v>804</v>
      </c>
      <c r="H367" s="14">
        <v>190.28571428571422</v>
      </c>
      <c r="I367" s="15">
        <v>1200</v>
      </c>
    </row>
    <row r="368" spans="1:9" x14ac:dyDescent="0.3">
      <c r="A368" s="13" t="s">
        <v>29</v>
      </c>
      <c r="B368" s="13" t="s">
        <v>28</v>
      </c>
      <c r="C368" s="13" t="s">
        <v>22</v>
      </c>
      <c r="D368" s="13" t="s">
        <v>23</v>
      </c>
      <c r="E368">
        <v>48</v>
      </c>
      <c r="F368" s="15">
        <v>9552</v>
      </c>
      <c r="G368" s="14">
        <v>4768</v>
      </c>
      <c r="H368" s="14">
        <v>227.80952380952385</v>
      </c>
      <c r="I368" s="15">
        <v>199</v>
      </c>
    </row>
    <row r="369" spans="1:9" x14ac:dyDescent="0.3">
      <c r="A369" s="13" t="s">
        <v>29</v>
      </c>
      <c r="B369" s="13" t="s">
        <v>28</v>
      </c>
      <c r="C369" s="13" t="s">
        <v>25</v>
      </c>
      <c r="D369" s="13" t="s">
        <v>23</v>
      </c>
      <c r="E369">
        <v>16</v>
      </c>
      <c r="F369" s="15">
        <v>14400</v>
      </c>
      <c r="G369" s="14">
        <v>7336</v>
      </c>
      <c r="H369" s="14">
        <v>1077.5593220338978</v>
      </c>
      <c r="I369" s="15">
        <v>900</v>
      </c>
    </row>
    <row r="370" spans="1:9" x14ac:dyDescent="0.3">
      <c r="A370" s="13" t="s">
        <v>29</v>
      </c>
      <c r="B370" s="13" t="s">
        <v>28</v>
      </c>
      <c r="C370" s="13" t="s">
        <v>13</v>
      </c>
      <c r="D370" s="13" t="s">
        <v>14</v>
      </c>
      <c r="E370">
        <v>1748</v>
      </c>
      <c r="F370" s="15">
        <v>655500</v>
      </c>
      <c r="G370" s="14">
        <v>443280</v>
      </c>
      <c r="H370" s="14">
        <v>10105.71428571429</v>
      </c>
      <c r="I370" s="15">
        <v>375</v>
      </c>
    </row>
    <row r="371" spans="1:9" x14ac:dyDescent="0.3">
      <c r="A371" s="13" t="s">
        <v>29</v>
      </c>
      <c r="B371" s="13" t="s">
        <v>28</v>
      </c>
      <c r="C371" s="13" t="s">
        <v>15</v>
      </c>
      <c r="D371" s="13" t="s">
        <v>14</v>
      </c>
      <c r="E371">
        <v>76</v>
      </c>
      <c r="F371" s="15">
        <v>12540</v>
      </c>
      <c r="G371" s="14">
        <v>7476</v>
      </c>
      <c r="H371" s="14">
        <v>241.14285714285779</v>
      </c>
      <c r="I371" s="15">
        <v>165</v>
      </c>
    </row>
    <row r="372" spans="1:9" x14ac:dyDescent="0.3">
      <c r="A372" s="13" t="s">
        <v>29</v>
      </c>
      <c r="B372" s="13" t="s">
        <v>28</v>
      </c>
      <c r="C372" s="13" t="s">
        <v>10</v>
      </c>
      <c r="D372" s="13" t="s">
        <v>11</v>
      </c>
      <c r="E372">
        <v>4</v>
      </c>
      <c r="F372" s="15">
        <v>1340</v>
      </c>
      <c r="G372" s="14">
        <v>344</v>
      </c>
      <c r="H372" s="14">
        <v>47.428571428571445</v>
      </c>
      <c r="I372" s="15">
        <v>335</v>
      </c>
    </row>
    <row r="373" spans="1:9" x14ac:dyDescent="0.3">
      <c r="A373" s="13" t="s">
        <v>29</v>
      </c>
      <c r="B373" s="13" t="s">
        <v>28</v>
      </c>
      <c r="C373" s="13" t="s">
        <v>18</v>
      </c>
      <c r="D373" s="13" t="s">
        <v>17</v>
      </c>
      <c r="E373">
        <v>12</v>
      </c>
      <c r="F373" s="15">
        <v>6900</v>
      </c>
      <c r="G373" s="14">
        <v>1612</v>
      </c>
      <c r="H373" s="14">
        <v>566.57142857142935</v>
      </c>
      <c r="I373" s="15">
        <v>575</v>
      </c>
    </row>
    <row r="374" spans="1:9" x14ac:dyDescent="0.3">
      <c r="A374" s="13" t="s">
        <v>29</v>
      </c>
      <c r="B374" s="13" t="s">
        <v>28</v>
      </c>
      <c r="C374" s="13" t="s">
        <v>19</v>
      </c>
      <c r="D374" s="13" t="s">
        <v>17</v>
      </c>
      <c r="E374">
        <v>8</v>
      </c>
      <c r="F374" s="15">
        <v>9200</v>
      </c>
      <c r="G374" s="14">
        <v>2248</v>
      </c>
      <c r="H374" s="14">
        <v>744.85714285714312</v>
      </c>
      <c r="I374" s="15">
        <v>1150</v>
      </c>
    </row>
    <row r="375" spans="1:9" x14ac:dyDescent="0.3">
      <c r="A375" s="13" t="s">
        <v>29</v>
      </c>
      <c r="B375" s="13" t="s">
        <v>28</v>
      </c>
      <c r="C375" s="13" t="s">
        <v>22</v>
      </c>
      <c r="D375" s="13" t="s">
        <v>23</v>
      </c>
      <c r="E375">
        <v>60</v>
      </c>
      <c r="F375" s="15">
        <v>11940</v>
      </c>
      <c r="G375" s="14">
        <v>5956</v>
      </c>
      <c r="H375" s="14">
        <v>284.95238095238165</v>
      </c>
      <c r="I375" s="15">
        <v>199</v>
      </c>
    </row>
    <row r="376" spans="1:9" x14ac:dyDescent="0.3">
      <c r="A376" s="13" t="s">
        <v>29</v>
      </c>
      <c r="B376" s="13" t="s">
        <v>28</v>
      </c>
      <c r="C376" s="13" t="s">
        <v>24</v>
      </c>
      <c r="D376" s="13" t="s">
        <v>23</v>
      </c>
      <c r="E376">
        <v>12</v>
      </c>
      <c r="F376" s="15">
        <v>5400</v>
      </c>
      <c r="G376" s="14">
        <v>612</v>
      </c>
      <c r="H376" s="14">
        <v>228</v>
      </c>
      <c r="I376" s="15">
        <v>450</v>
      </c>
    </row>
    <row r="377" spans="1:9" x14ac:dyDescent="0.3">
      <c r="A377" s="13" t="s">
        <v>29</v>
      </c>
      <c r="B377" s="13" t="s">
        <v>28</v>
      </c>
      <c r="C377" s="13" t="s">
        <v>25</v>
      </c>
      <c r="D377" s="13" t="s">
        <v>23</v>
      </c>
      <c r="E377">
        <v>8</v>
      </c>
      <c r="F377" s="15">
        <v>7200</v>
      </c>
      <c r="G377" s="14">
        <v>3608</v>
      </c>
      <c r="H377" s="14">
        <v>547.93220338983019</v>
      </c>
      <c r="I377" s="15">
        <v>900</v>
      </c>
    </row>
    <row r="378" spans="1:9" x14ac:dyDescent="0.3">
      <c r="A378" s="13" t="s">
        <v>29</v>
      </c>
      <c r="B378" s="13" t="s">
        <v>28</v>
      </c>
      <c r="C378" s="13" t="s">
        <v>13</v>
      </c>
      <c r="D378" s="13" t="s">
        <v>14</v>
      </c>
      <c r="E378">
        <v>336</v>
      </c>
      <c r="F378" s="15">
        <v>126000</v>
      </c>
      <c r="G378" s="14">
        <v>83068</v>
      </c>
      <c r="H378" s="14">
        <v>2044.3809523809541</v>
      </c>
      <c r="I378" s="15">
        <v>375</v>
      </c>
    </row>
    <row r="379" spans="1:9" x14ac:dyDescent="0.3">
      <c r="A379" s="13" t="s">
        <v>29</v>
      </c>
      <c r="B379" s="13" t="s">
        <v>28</v>
      </c>
      <c r="C379" s="13" t="s">
        <v>15</v>
      </c>
      <c r="D379" s="13" t="s">
        <v>14</v>
      </c>
      <c r="E379">
        <v>20</v>
      </c>
      <c r="F379" s="15">
        <v>3300</v>
      </c>
      <c r="G379" s="14">
        <v>1980</v>
      </c>
      <c r="H379" s="14">
        <v>62.85714285714289</v>
      </c>
      <c r="I379" s="15">
        <v>165</v>
      </c>
    </row>
    <row r="380" spans="1:9" x14ac:dyDescent="0.3">
      <c r="A380" s="13" t="s">
        <v>29</v>
      </c>
      <c r="B380" s="13" t="s">
        <v>28</v>
      </c>
      <c r="C380" s="13" t="s">
        <v>12</v>
      </c>
      <c r="D380" s="13" t="s">
        <v>11</v>
      </c>
      <c r="E380">
        <v>4</v>
      </c>
      <c r="F380" s="15">
        <v>2400</v>
      </c>
      <c r="G380" s="14">
        <v>644</v>
      </c>
      <c r="H380" s="14">
        <v>83.619047619047706</v>
      </c>
      <c r="I380" s="15">
        <v>600</v>
      </c>
    </row>
    <row r="381" spans="1:9" x14ac:dyDescent="0.3">
      <c r="A381" s="13" t="s">
        <v>29</v>
      </c>
      <c r="B381" s="13" t="s">
        <v>28</v>
      </c>
      <c r="C381" s="13" t="s">
        <v>22</v>
      </c>
      <c r="D381" s="13" t="s">
        <v>23</v>
      </c>
      <c r="E381">
        <v>36</v>
      </c>
      <c r="F381" s="15">
        <v>7164</v>
      </c>
      <c r="G381" s="14">
        <v>3640</v>
      </c>
      <c r="H381" s="14">
        <v>167.80952380952385</v>
      </c>
      <c r="I381" s="15">
        <v>199</v>
      </c>
    </row>
    <row r="382" spans="1:9" x14ac:dyDescent="0.3">
      <c r="A382" s="13" t="s">
        <v>29</v>
      </c>
      <c r="B382" s="13" t="s">
        <v>28</v>
      </c>
      <c r="C382" s="13" t="s">
        <v>24</v>
      </c>
      <c r="D382" s="13" t="s">
        <v>23</v>
      </c>
      <c r="E382">
        <v>4</v>
      </c>
      <c r="F382" s="15">
        <v>1800</v>
      </c>
      <c r="G382" s="14">
        <v>500</v>
      </c>
      <c r="H382" s="14">
        <v>61.904761904761926</v>
      </c>
      <c r="I382" s="15">
        <v>450</v>
      </c>
    </row>
    <row r="383" spans="1:9" x14ac:dyDescent="0.3">
      <c r="A383" s="13" t="s">
        <v>29</v>
      </c>
      <c r="B383" s="13" t="s">
        <v>28</v>
      </c>
      <c r="C383" s="13" t="s">
        <v>25</v>
      </c>
      <c r="D383" s="13" t="s">
        <v>23</v>
      </c>
      <c r="E383">
        <v>28</v>
      </c>
      <c r="F383" s="15">
        <v>25200</v>
      </c>
      <c r="G383" s="14">
        <v>12900</v>
      </c>
      <c r="H383" s="14">
        <v>1876.2711864406774</v>
      </c>
      <c r="I383" s="15">
        <v>900</v>
      </c>
    </row>
    <row r="384" spans="1:9" x14ac:dyDescent="0.3">
      <c r="A384" s="13" t="s">
        <v>29</v>
      </c>
      <c r="B384" s="13" t="s">
        <v>28</v>
      </c>
      <c r="C384" s="13" t="s">
        <v>13</v>
      </c>
      <c r="D384" s="13" t="s">
        <v>14</v>
      </c>
      <c r="E384">
        <v>168</v>
      </c>
      <c r="F384" s="15">
        <v>63000</v>
      </c>
      <c r="G384" s="14">
        <v>38936</v>
      </c>
      <c r="H384" s="14">
        <v>1145.9047619047633</v>
      </c>
      <c r="I384" s="15">
        <v>375</v>
      </c>
    </row>
    <row r="385" spans="1:9" x14ac:dyDescent="0.3">
      <c r="A385" s="13" t="s">
        <v>29</v>
      </c>
      <c r="B385" s="13" t="s">
        <v>28</v>
      </c>
      <c r="C385" s="13" t="s">
        <v>15</v>
      </c>
      <c r="D385" s="13" t="s">
        <v>14</v>
      </c>
      <c r="E385">
        <v>20</v>
      </c>
      <c r="F385" s="15">
        <v>3300</v>
      </c>
      <c r="G385" s="14">
        <v>1908</v>
      </c>
      <c r="H385" s="14">
        <v>66.285714285714448</v>
      </c>
      <c r="I385" s="15">
        <v>165</v>
      </c>
    </row>
    <row r="386" spans="1:9" x14ac:dyDescent="0.3">
      <c r="A386" s="13" t="s">
        <v>29</v>
      </c>
      <c r="B386" s="13" t="s">
        <v>28</v>
      </c>
      <c r="C386" s="13" t="s">
        <v>12</v>
      </c>
      <c r="D386" s="13" t="s">
        <v>11</v>
      </c>
      <c r="E386">
        <v>8</v>
      </c>
      <c r="F386" s="15">
        <v>4800</v>
      </c>
      <c r="G386" s="14">
        <v>1188</v>
      </c>
      <c r="H386" s="14">
        <v>172</v>
      </c>
      <c r="I386" s="15">
        <v>600</v>
      </c>
    </row>
    <row r="387" spans="1:9" x14ac:dyDescent="0.3">
      <c r="A387" s="13" t="s">
        <v>29</v>
      </c>
      <c r="B387" s="13" t="s">
        <v>28</v>
      </c>
      <c r="C387" s="13" t="s">
        <v>19</v>
      </c>
      <c r="D387" s="13" t="s">
        <v>17</v>
      </c>
      <c r="E387">
        <v>4</v>
      </c>
      <c r="F387" s="15">
        <v>4600</v>
      </c>
      <c r="G387" s="14">
        <v>1140</v>
      </c>
      <c r="H387" s="14">
        <v>370.71428571428623</v>
      </c>
      <c r="I387" s="15">
        <v>1150</v>
      </c>
    </row>
    <row r="388" spans="1:9" x14ac:dyDescent="0.3">
      <c r="A388" s="13" t="s">
        <v>29</v>
      </c>
      <c r="B388" s="13" t="s">
        <v>28</v>
      </c>
      <c r="C388" s="13" t="s">
        <v>22</v>
      </c>
      <c r="D388" s="13" t="s">
        <v>23</v>
      </c>
      <c r="E388">
        <v>96</v>
      </c>
      <c r="F388" s="15">
        <v>19104</v>
      </c>
      <c r="G388" s="14">
        <v>9576</v>
      </c>
      <c r="H388" s="14">
        <v>453.71428571428623</v>
      </c>
      <c r="I388" s="15">
        <v>199</v>
      </c>
    </row>
    <row r="389" spans="1:9" x14ac:dyDescent="0.3">
      <c r="A389" s="13" t="s">
        <v>29</v>
      </c>
      <c r="B389" s="13" t="s">
        <v>28</v>
      </c>
      <c r="C389" s="13" t="s">
        <v>24</v>
      </c>
      <c r="D389" s="13" t="s">
        <v>23</v>
      </c>
      <c r="E389">
        <v>4</v>
      </c>
      <c r="F389" s="15">
        <v>1800</v>
      </c>
      <c r="G389" s="14">
        <v>500</v>
      </c>
      <c r="H389" s="14">
        <v>61.904761904761926</v>
      </c>
      <c r="I389" s="15">
        <v>450</v>
      </c>
    </row>
    <row r="390" spans="1:9" x14ac:dyDescent="0.3">
      <c r="A390" s="13" t="s">
        <v>29</v>
      </c>
      <c r="B390" s="13" t="s">
        <v>28</v>
      </c>
      <c r="C390" s="13" t="s">
        <v>25</v>
      </c>
      <c r="D390" s="13" t="s">
        <v>23</v>
      </c>
      <c r="E390">
        <v>28</v>
      </c>
      <c r="F390" s="15">
        <v>25200</v>
      </c>
      <c r="G390" s="14">
        <v>12720</v>
      </c>
      <c r="H390" s="14">
        <v>1903.7288135593208</v>
      </c>
      <c r="I390" s="15">
        <v>900</v>
      </c>
    </row>
    <row r="391" spans="1:9" x14ac:dyDescent="0.3">
      <c r="A391" s="13" t="s">
        <v>29</v>
      </c>
      <c r="B391" s="13" t="s">
        <v>28</v>
      </c>
      <c r="C391" s="13" t="s">
        <v>13</v>
      </c>
      <c r="D391" s="13" t="s">
        <v>14</v>
      </c>
      <c r="E391">
        <v>164</v>
      </c>
      <c r="F391" s="15">
        <v>61500</v>
      </c>
      <c r="G391" s="14">
        <v>38168</v>
      </c>
      <c r="H391" s="14">
        <v>1111.0476190476184</v>
      </c>
      <c r="I391" s="15">
        <v>375</v>
      </c>
    </row>
    <row r="392" spans="1:9" x14ac:dyDescent="0.3">
      <c r="A392" s="13" t="s">
        <v>29</v>
      </c>
      <c r="B392" s="13" t="s">
        <v>28</v>
      </c>
      <c r="C392" s="13" t="s">
        <v>12</v>
      </c>
      <c r="D392" s="13" t="s">
        <v>11</v>
      </c>
      <c r="E392">
        <v>8</v>
      </c>
      <c r="F392" s="15">
        <v>4800</v>
      </c>
      <c r="G392" s="14">
        <v>1188</v>
      </c>
      <c r="H392" s="14">
        <v>172</v>
      </c>
      <c r="I392" s="15">
        <v>600</v>
      </c>
    </row>
    <row r="393" spans="1:9" x14ac:dyDescent="0.3">
      <c r="A393" s="13" t="s">
        <v>29</v>
      </c>
      <c r="B393" s="13" t="s">
        <v>28</v>
      </c>
      <c r="C393" s="13" t="s">
        <v>19</v>
      </c>
      <c r="D393" s="13" t="s">
        <v>17</v>
      </c>
      <c r="E393">
        <v>4</v>
      </c>
      <c r="F393" s="15">
        <v>4600</v>
      </c>
      <c r="G393" s="14">
        <v>1120</v>
      </c>
      <c r="H393" s="14">
        <v>372.85714285714312</v>
      </c>
      <c r="I393" s="15">
        <v>1150</v>
      </c>
    </row>
    <row r="394" spans="1:9" x14ac:dyDescent="0.3">
      <c r="A394" s="13" t="s">
        <v>29</v>
      </c>
      <c r="B394" s="13" t="s">
        <v>28</v>
      </c>
      <c r="C394" s="13" t="s">
        <v>22</v>
      </c>
      <c r="D394" s="13" t="s">
        <v>23</v>
      </c>
      <c r="E394">
        <v>96</v>
      </c>
      <c r="F394" s="15">
        <v>19104</v>
      </c>
      <c r="G394" s="14">
        <v>9560</v>
      </c>
      <c r="H394" s="14">
        <v>454.47619047619082</v>
      </c>
      <c r="I394" s="15">
        <v>199</v>
      </c>
    </row>
    <row r="395" spans="1:9" x14ac:dyDescent="0.3">
      <c r="A395" s="13" t="s">
        <v>29</v>
      </c>
      <c r="B395" s="13" t="s">
        <v>28</v>
      </c>
      <c r="C395" s="13" t="s">
        <v>25</v>
      </c>
      <c r="D395" s="13" t="s">
        <v>23</v>
      </c>
      <c r="E395">
        <v>16</v>
      </c>
      <c r="F395" s="15">
        <v>14400</v>
      </c>
      <c r="G395" s="14">
        <v>7236</v>
      </c>
      <c r="H395" s="14">
        <v>1092.8135593220331</v>
      </c>
      <c r="I395" s="15">
        <v>900</v>
      </c>
    </row>
    <row r="396" spans="1:9" x14ac:dyDescent="0.3">
      <c r="A396" s="13" t="s">
        <v>29</v>
      </c>
      <c r="B396" s="13" t="s">
        <v>28</v>
      </c>
      <c r="C396" s="13" t="s">
        <v>13</v>
      </c>
      <c r="D396" s="13" t="s">
        <v>14</v>
      </c>
      <c r="E396">
        <v>184</v>
      </c>
      <c r="F396" s="15">
        <v>69000</v>
      </c>
      <c r="G396" s="14">
        <v>42668</v>
      </c>
      <c r="H396" s="14">
        <v>1253.9047619047633</v>
      </c>
      <c r="I396" s="15">
        <v>375</v>
      </c>
    </row>
    <row r="397" spans="1:9" x14ac:dyDescent="0.3">
      <c r="A397" s="13" t="s">
        <v>29</v>
      </c>
      <c r="B397" s="13" t="s">
        <v>28</v>
      </c>
      <c r="C397" s="13" t="s">
        <v>15</v>
      </c>
      <c r="D397" s="13" t="s">
        <v>14</v>
      </c>
      <c r="E397">
        <v>20</v>
      </c>
      <c r="F397" s="15">
        <v>3300</v>
      </c>
      <c r="G397" s="14">
        <v>1976</v>
      </c>
      <c r="H397" s="14">
        <v>63.047619047619037</v>
      </c>
      <c r="I397" s="15">
        <v>165</v>
      </c>
    </row>
    <row r="398" spans="1:9" x14ac:dyDescent="0.3">
      <c r="A398" s="13" t="s">
        <v>29</v>
      </c>
      <c r="B398" s="13" t="s">
        <v>28</v>
      </c>
      <c r="C398" s="13" t="s">
        <v>10</v>
      </c>
      <c r="D398" s="13" t="s">
        <v>11</v>
      </c>
      <c r="E398">
        <v>4</v>
      </c>
      <c r="F398" s="15">
        <v>1340</v>
      </c>
      <c r="G398" s="14">
        <v>324</v>
      </c>
      <c r="H398" s="14">
        <v>48.380952380952408</v>
      </c>
      <c r="I398" s="15">
        <v>335</v>
      </c>
    </row>
    <row r="399" spans="1:9" x14ac:dyDescent="0.3">
      <c r="A399" s="13" t="s">
        <v>29</v>
      </c>
      <c r="B399" s="13" t="s">
        <v>28</v>
      </c>
      <c r="C399" s="13" t="s">
        <v>19</v>
      </c>
      <c r="D399" s="13" t="s">
        <v>17</v>
      </c>
      <c r="E399">
        <v>8</v>
      </c>
      <c r="F399" s="15">
        <v>9200</v>
      </c>
      <c r="G399" s="14">
        <v>2320</v>
      </c>
      <c r="H399" s="14">
        <v>737.14285714285779</v>
      </c>
      <c r="I399" s="15">
        <v>1150</v>
      </c>
    </row>
    <row r="400" spans="1:9" x14ac:dyDescent="0.3">
      <c r="A400" s="13" t="s">
        <v>29</v>
      </c>
      <c r="B400" s="13" t="s">
        <v>28</v>
      </c>
      <c r="C400" s="13" t="s">
        <v>22</v>
      </c>
      <c r="D400" s="13" t="s">
        <v>23</v>
      </c>
      <c r="E400">
        <v>36</v>
      </c>
      <c r="F400" s="15">
        <v>7164</v>
      </c>
      <c r="G400" s="14">
        <v>3580</v>
      </c>
      <c r="H400" s="14">
        <v>170.66666666666697</v>
      </c>
      <c r="I400" s="15">
        <v>199</v>
      </c>
    </row>
    <row r="401" spans="1:9" x14ac:dyDescent="0.3">
      <c r="A401" s="13" t="s">
        <v>29</v>
      </c>
      <c r="B401" s="13" t="s">
        <v>28</v>
      </c>
      <c r="C401" s="13" t="s">
        <v>25</v>
      </c>
      <c r="D401" s="13" t="s">
        <v>23</v>
      </c>
      <c r="E401">
        <v>4</v>
      </c>
      <c r="F401" s="15">
        <v>3600</v>
      </c>
      <c r="G401" s="14">
        <v>1844</v>
      </c>
      <c r="H401" s="14">
        <v>267.86440677966084</v>
      </c>
      <c r="I401" s="15">
        <v>900</v>
      </c>
    </row>
    <row r="402" spans="1:9" x14ac:dyDescent="0.3">
      <c r="A402" s="13" t="s">
        <v>29</v>
      </c>
      <c r="B402" s="13" t="s">
        <v>28</v>
      </c>
      <c r="C402" s="13" t="s">
        <v>13</v>
      </c>
      <c r="D402" s="13" t="s">
        <v>14</v>
      </c>
      <c r="E402">
        <v>164</v>
      </c>
      <c r="F402" s="15">
        <v>61500</v>
      </c>
      <c r="G402" s="14">
        <v>38064</v>
      </c>
      <c r="H402" s="14">
        <v>1116</v>
      </c>
      <c r="I402" s="15">
        <v>375</v>
      </c>
    </row>
    <row r="403" spans="1:9" x14ac:dyDescent="0.3">
      <c r="A403" s="13" t="s">
        <v>29</v>
      </c>
      <c r="B403" s="13" t="s">
        <v>28</v>
      </c>
      <c r="C403" s="13" t="s">
        <v>15</v>
      </c>
      <c r="D403" s="13" t="s">
        <v>14</v>
      </c>
      <c r="E403">
        <v>20</v>
      </c>
      <c r="F403" s="15">
        <v>3300</v>
      </c>
      <c r="G403" s="14">
        <v>2000</v>
      </c>
      <c r="H403" s="14">
        <v>61.904761904761926</v>
      </c>
      <c r="I403" s="15">
        <v>165</v>
      </c>
    </row>
    <row r="404" spans="1:9" x14ac:dyDescent="0.3">
      <c r="A404" s="13" t="s">
        <v>29</v>
      </c>
      <c r="B404" s="13" t="s">
        <v>28</v>
      </c>
      <c r="C404" s="13" t="s">
        <v>10</v>
      </c>
      <c r="D404" s="13" t="s">
        <v>11</v>
      </c>
      <c r="E404">
        <v>4</v>
      </c>
      <c r="F404" s="15">
        <v>1340</v>
      </c>
      <c r="G404" s="14">
        <v>344</v>
      </c>
      <c r="H404" s="14">
        <v>47.428571428571445</v>
      </c>
      <c r="I404" s="15">
        <v>335</v>
      </c>
    </row>
    <row r="405" spans="1:9" x14ac:dyDescent="0.3">
      <c r="A405" s="13" t="s">
        <v>29</v>
      </c>
      <c r="B405" s="13" t="s">
        <v>28</v>
      </c>
      <c r="C405" s="13" t="s">
        <v>18</v>
      </c>
      <c r="D405" s="13" t="s">
        <v>17</v>
      </c>
      <c r="E405">
        <v>4</v>
      </c>
      <c r="F405" s="15">
        <v>2300</v>
      </c>
      <c r="G405" s="14">
        <v>484</v>
      </c>
      <c r="H405" s="14">
        <v>194.57142857142867</v>
      </c>
      <c r="I405" s="15">
        <v>575</v>
      </c>
    </row>
    <row r="406" spans="1:9" x14ac:dyDescent="0.3">
      <c r="A406" s="13" t="s">
        <v>29</v>
      </c>
      <c r="B406" s="13" t="s">
        <v>28</v>
      </c>
      <c r="C406" s="13" t="s">
        <v>21</v>
      </c>
      <c r="D406" s="13" t="s">
        <v>11</v>
      </c>
      <c r="E406">
        <v>4</v>
      </c>
      <c r="F406" s="15">
        <v>4800</v>
      </c>
      <c r="G406" s="14">
        <v>1216</v>
      </c>
      <c r="H406" s="14">
        <v>170.66666666666697</v>
      </c>
      <c r="I406" s="15">
        <v>1200</v>
      </c>
    </row>
    <row r="407" spans="1:9" x14ac:dyDescent="0.3">
      <c r="A407" s="13" t="s">
        <v>29</v>
      </c>
      <c r="B407" s="13" t="s">
        <v>28</v>
      </c>
      <c r="C407" s="13" t="s">
        <v>20</v>
      </c>
      <c r="D407" s="13" t="s">
        <v>14</v>
      </c>
      <c r="E407">
        <v>4</v>
      </c>
      <c r="F407" s="15">
        <v>3000</v>
      </c>
      <c r="G407" s="14">
        <v>1408</v>
      </c>
      <c r="H407" s="14">
        <v>75.809523809523853</v>
      </c>
      <c r="I407" s="15">
        <v>750</v>
      </c>
    </row>
    <row r="408" spans="1:9" x14ac:dyDescent="0.3">
      <c r="A408" s="13" t="s">
        <v>29</v>
      </c>
      <c r="B408" s="13" t="s">
        <v>28</v>
      </c>
      <c r="C408" s="13" t="s">
        <v>22</v>
      </c>
      <c r="D408" s="13" t="s">
        <v>23</v>
      </c>
      <c r="E408">
        <v>36</v>
      </c>
      <c r="F408" s="15">
        <v>7164</v>
      </c>
      <c r="G408" s="14">
        <v>3600</v>
      </c>
      <c r="H408" s="14">
        <v>169.71428571428578</v>
      </c>
      <c r="I408" s="15">
        <v>199</v>
      </c>
    </row>
    <row r="409" spans="1:9" x14ac:dyDescent="0.3">
      <c r="A409" s="13" t="s">
        <v>29</v>
      </c>
      <c r="B409" s="13" t="s">
        <v>28</v>
      </c>
      <c r="C409" s="13" t="s">
        <v>25</v>
      </c>
      <c r="D409" s="13" t="s">
        <v>23</v>
      </c>
      <c r="E409">
        <v>8</v>
      </c>
      <c r="F409" s="15">
        <v>7200</v>
      </c>
      <c r="G409" s="14">
        <v>3648</v>
      </c>
      <c r="H409" s="14">
        <v>541.83050847457616</v>
      </c>
      <c r="I409" s="15">
        <v>900</v>
      </c>
    </row>
    <row r="410" spans="1:9" x14ac:dyDescent="0.3">
      <c r="A410" s="13" t="s">
        <v>29</v>
      </c>
      <c r="B410" s="13" t="s">
        <v>28</v>
      </c>
      <c r="C410" s="13" t="s">
        <v>13</v>
      </c>
      <c r="D410" s="13" t="s">
        <v>14</v>
      </c>
      <c r="E410">
        <v>296</v>
      </c>
      <c r="F410" s="15">
        <v>111000</v>
      </c>
      <c r="G410" s="14">
        <v>68652</v>
      </c>
      <c r="H410" s="14">
        <v>2016.5714285714275</v>
      </c>
      <c r="I410" s="15">
        <v>375</v>
      </c>
    </row>
    <row r="411" spans="1:9" x14ac:dyDescent="0.3">
      <c r="A411" s="13" t="s">
        <v>29</v>
      </c>
      <c r="B411" s="13" t="s">
        <v>28</v>
      </c>
      <c r="C411" s="13" t="s">
        <v>12</v>
      </c>
      <c r="D411" s="13" t="s">
        <v>11</v>
      </c>
      <c r="E411">
        <v>4</v>
      </c>
      <c r="F411" s="15">
        <v>2400</v>
      </c>
      <c r="G411" s="14">
        <v>404</v>
      </c>
      <c r="H411" s="14">
        <v>95.047619047619037</v>
      </c>
      <c r="I411" s="15">
        <v>600</v>
      </c>
    </row>
    <row r="412" spans="1:9" x14ac:dyDescent="0.3">
      <c r="A412" s="13" t="s">
        <v>29</v>
      </c>
      <c r="B412" s="13" t="s">
        <v>28</v>
      </c>
      <c r="C412" s="13" t="s">
        <v>10</v>
      </c>
      <c r="D412" s="13" t="s">
        <v>11</v>
      </c>
      <c r="E412">
        <v>4</v>
      </c>
      <c r="F412" s="15">
        <v>1340</v>
      </c>
      <c r="G412" s="14">
        <v>344</v>
      </c>
      <c r="H412" s="14">
        <v>47.428571428571445</v>
      </c>
      <c r="I412" s="15">
        <v>335</v>
      </c>
    </row>
    <row r="413" spans="1:9" x14ac:dyDescent="0.3">
      <c r="A413" s="13" t="s">
        <v>29</v>
      </c>
      <c r="B413" s="13" t="s">
        <v>28</v>
      </c>
      <c r="C413" s="13" t="s">
        <v>22</v>
      </c>
      <c r="D413" s="13" t="s">
        <v>23</v>
      </c>
      <c r="E413">
        <v>72</v>
      </c>
      <c r="F413" s="15">
        <v>14328</v>
      </c>
      <c r="G413" s="14">
        <v>7180</v>
      </c>
      <c r="H413" s="14">
        <v>340.38095238095229</v>
      </c>
      <c r="I413" s="15">
        <v>199</v>
      </c>
    </row>
    <row r="414" spans="1:9" x14ac:dyDescent="0.3">
      <c r="A414" s="13" t="s">
        <v>29</v>
      </c>
      <c r="B414" s="13" t="s">
        <v>28</v>
      </c>
      <c r="C414" s="13" t="s">
        <v>24</v>
      </c>
      <c r="D414" s="13" t="s">
        <v>23</v>
      </c>
      <c r="E414">
        <v>4</v>
      </c>
      <c r="F414" s="15">
        <v>1800</v>
      </c>
      <c r="G414" s="14">
        <v>500</v>
      </c>
      <c r="H414" s="14">
        <v>61.904761904761926</v>
      </c>
      <c r="I414" s="15">
        <v>450</v>
      </c>
    </row>
    <row r="415" spans="1:9" x14ac:dyDescent="0.3">
      <c r="A415" s="13" t="s">
        <v>29</v>
      </c>
      <c r="B415" s="13" t="s">
        <v>28</v>
      </c>
      <c r="C415" s="13" t="s">
        <v>25</v>
      </c>
      <c r="D415" s="13" t="s">
        <v>23</v>
      </c>
      <c r="E415">
        <v>8</v>
      </c>
      <c r="F415" s="15">
        <v>7200</v>
      </c>
      <c r="G415" s="14">
        <v>3708</v>
      </c>
      <c r="H415" s="14">
        <v>532.67796610169489</v>
      </c>
      <c r="I415" s="15">
        <v>900</v>
      </c>
    </row>
    <row r="416" spans="1:9" x14ac:dyDescent="0.3">
      <c r="A416" s="13" t="s">
        <v>29</v>
      </c>
      <c r="B416" s="13" t="s">
        <v>28</v>
      </c>
      <c r="C416" s="13" t="s">
        <v>13</v>
      </c>
      <c r="D416" s="13" t="s">
        <v>14</v>
      </c>
      <c r="E416">
        <v>256</v>
      </c>
      <c r="F416" s="15">
        <v>96000</v>
      </c>
      <c r="G416" s="14">
        <v>61800</v>
      </c>
      <c r="H416" s="14">
        <v>1628.5714285714312</v>
      </c>
      <c r="I416" s="15">
        <v>375</v>
      </c>
    </row>
    <row r="417" spans="1:9" x14ac:dyDescent="0.3">
      <c r="A417" s="13" t="s">
        <v>29</v>
      </c>
      <c r="B417" s="13" t="s">
        <v>28</v>
      </c>
      <c r="C417" s="13" t="s">
        <v>15</v>
      </c>
      <c r="D417" s="13" t="s">
        <v>14</v>
      </c>
      <c r="E417">
        <v>12</v>
      </c>
      <c r="F417" s="15">
        <v>1980</v>
      </c>
      <c r="G417" s="14">
        <v>948</v>
      </c>
      <c r="H417" s="14">
        <v>49.142857142857224</v>
      </c>
      <c r="I417" s="15">
        <v>165</v>
      </c>
    </row>
    <row r="418" spans="1:9" x14ac:dyDescent="0.3">
      <c r="A418" s="13" t="s">
        <v>29</v>
      </c>
      <c r="B418" s="13" t="s">
        <v>28</v>
      </c>
      <c r="C418" s="13" t="s">
        <v>22</v>
      </c>
      <c r="D418" s="13" t="s">
        <v>23</v>
      </c>
      <c r="E418">
        <v>24</v>
      </c>
      <c r="F418" s="15">
        <v>4776</v>
      </c>
      <c r="G418" s="14">
        <v>2400</v>
      </c>
      <c r="H418" s="14">
        <v>113.14285714285734</v>
      </c>
      <c r="I418" s="15">
        <v>199</v>
      </c>
    </row>
    <row r="419" spans="1:9" x14ac:dyDescent="0.3">
      <c r="A419" s="13" t="s">
        <v>29</v>
      </c>
      <c r="B419" s="13" t="s">
        <v>28</v>
      </c>
      <c r="C419" s="13" t="s">
        <v>24</v>
      </c>
      <c r="D419" s="13" t="s">
        <v>23</v>
      </c>
      <c r="E419">
        <v>4</v>
      </c>
      <c r="F419" s="15">
        <v>1800</v>
      </c>
      <c r="G419" s="14">
        <v>500</v>
      </c>
      <c r="H419" s="14">
        <v>61.904761904761926</v>
      </c>
      <c r="I419" s="15">
        <v>450</v>
      </c>
    </row>
    <row r="420" spans="1:9" x14ac:dyDescent="0.3">
      <c r="A420" s="13" t="s">
        <v>29</v>
      </c>
      <c r="B420" s="13" t="s">
        <v>28</v>
      </c>
      <c r="C420" s="13" t="s">
        <v>25</v>
      </c>
      <c r="D420" s="13" t="s">
        <v>23</v>
      </c>
      <c r="E420">
        <v>12</v>
      </c>
      <c r="F420" s="15">
        <v>10800</v>
      </c>
      <c r="G420" s="14">
        <v>5532</v>
      </c>
      <c r="H420" s="14">
        <v>803.59322033898297</v>
      </c>
      <c r="I420" s="15">
        <v>900</v>
      </c>
    </row>
    <row r="421" spans="1:9" x14ac:dyDescent="0.3">
      <c r="A421" s="13" t="s">
        <v>29</v>
      </c>
      <c r="B421" s="13" t="s">
        <v>28</v>
      </c>
      <c r="C421" s="13" t="s">
        <v>13</v>
      </c>
      <c r="D421" s="13" t="s">
        <v>14</v>
      </c>
      <c r="E421">
        <v>184</v>
      </c>
      <c r="F421" s="15">
        <v>69000</v>
      </c>
      <c r="G421" s="14">
        <v>45928</v>
      </c>
      <c r="H421" s="14">
        <v>1098.6666666666679</v>
      </c>
      <c r="I421" s="15">
        <v>375</v>
      </c>
    </row>
    <row r="422" spans="1:9" x14ac:dyDescent="0.3">
      <c r="A422" s="13" t="s">
        <v>29</v>
      </c>
      <c r="B422" s="13" t="s">
        <v>28</v>
      </c>
      <c r="C422" s="13" t="s">
        <v>12</v>
      </c>
      <c r="D422" s="13" t="s">
        <v>11</v>
      </c>
      <c r="E422">
        <v>4</v>
      </c>
      <c r="F422" s="15">
        <v>2400</v>
      </c>
      <c r="G422" s="14">
        <v>432</v>
      </c>
      <c r="H422" s="14">
        <v>93.714285714285779</v>
      </c>
      <c r="I422" s="15">
        <v>600</v>
      </c>
    </row>
    <row r="423" spans="1:9" x14ac:dyDescent="0.3">
      <c r="A423" s="13" t="s">
        <v>29</v>
      </c>
      <c r="B423" s="13" t="s">
        <v>28</v>
      </c>
      <c r="C423" s="13" t="s">
        <v>18</v>
      </c>
      <c r="D423" s="13" t="s">
        <v>17</v>
      </c>
      <c r="E423">
        <v>4</v>
      </c>
      <c r="F423" s="15">
        <v>2300</v>
      </c>
      <c r="G423" s="14">
        <v>304</v>
      </c>
      <c r="H423" s="14">
        <v>213.85714285714312</v>
      </c>
      <c r="I423" s="15">
        <v>575</v>
      </c>
    </row>
    <row r="424" spans="1:9" x14ac:dyDescent="0.3">
      <c r="A424" s="13" t="s">
        <v>29</v>
      </c>
      <c r="B424" s="13" t="s">
        <v>28</v>
      </c>
      <c r="C424" s="13" t="s">
        <v>21</v>
      </c>
      <c r="D424" s="13" t="s">
        <v>11</v>
      </c>
      <c r="E424">
        <v>4</v>
      </c>
      <c r="F424" s="15">
        <v>4800</v>
      </c>
      <c r="G424" s="14">
        <v>1004</v>
      </c>
      <c r="H424" s="14">
        <v>180.76190476190504</v>
      </c>
      <c r="I424" s="15">
        <v>1200</v>
      </c>
    </row>
    <row r="425" spans="1:9" x14ac:dyDescent="0.3">
      <c r="A425" s="13" t="s">
        <v>29</v>
      </c>
      <c r="B425" s="13" t="s">
        <v>28</v>
      </c>
      <c r="C425" s="13" t="s">
        <v>20</v>
      </c>
      <c r="D425" s="13" t="s">
        <v>14</v>
      </c>
      <c r="E425">
        <v>4</v>
      </c>
      <c r="F425" s="15">
        <v>3000</v>
      </c>
      <c r="G425" s="14">
        <v>1204</v>
      </c>
      <c r="H425" s="14">
        <v>85.523809523809632</v>
      </c>
      <c r="I425" s="15">
        <v>750</v>
      </c>
    </row>
    <row r="426" spans="1:9" x14ac:dyDescent="0.3">
      <c r="A426" s="13" t="s">
        <v>29</v>
      </c>
      <c r="B426" s="13" t="s">
        <v>28</v>
      </c>
      <c r="C426" s="13" t="s">
        <v>22</v>
      </c>
      <c r="D426" s="13" t="s">
        <v>23</v>
      </c>
      <c r="E426">
        <v>36</v>
      </c>
      <c r="F426" s="15">
        <v>7164</v>
      </c>
      <c r="G426" s="14">
        <v>3628</v>
      </c>
      <c r="H426" s="14">
        <v>168.38095238095275</v>
      </c>
      <c r="I426" s="15">
        <v>199</v>
      </c>
    </row>
    <row r="427" spans="1:9" x14ac:dyDescent="0.3">
      <c r="A427" s="13" t="s">
        <v>29</v>
      </c>
      <c r="B427" s="13" t="s">
        <v>28</v>
      </c>
      <c r="C427" s="13" t="s">
        <v>24</v>
      </c>
      <c r="D427" s="13" t="s">
        <v>23</v>
      </c>
      <c r="E427">
        <v>12</v>
      </c>
      <c r="F427" s="15">
        <v>5400</v>
      </c>
      <c r="G427" s="14">
        <v>1460</v>
      </c>
      <c r="H427" s="14">
        <v>187.61904761904771</v>
      </c>
      <c r="I427" s="15">
        <v>450</v>
      </c>
    </row>
    <row r="428" spans="1:9" x14ac:dyDescent="0.3">
      <c r="A428" s="13" t="s">
        <v>29</v>
      </c>
      <c r="B428" s="13" t="s">
        <v>28</v>
      </c>
      <c r="C428" s="13" t="s">
        <v>25</v>
      </c>
      <c r="D428" s="13" t="s">
        <v>23</v>
      </c>
      <c r="E428">
        <v>12</v>
      </c>
      <c r="F428" s="15">
        <v>10800</v>
      </c>
      <c r="G428" s="14">
        <v>5524</v>
      </c>
      <c r="H428" s="14">
        <v>804.81355932203405</v>
      </c>
      <c r="I428" s="15">
        <v>900</v>
      </c>
    </row>
    <row r="429" spans="1:9" x14ac:dyDescent="0.3">
      <c r="A429" s="13" t="s">
        <v>29</v>
      </c>
      <c r="B429" s="13" t="s">
        <v>28</v>
      </c>
      <c r="C429" s="13" t="s">
        <v>13</v>
      </c>
      <c r="D429" s="13" t="s">
        <v>14</v>
      </c>
      <c r="E429">
        <v>396</v>
      </c>
      <c r="F429" s="15">
        <v>148500</v>
      </c>
      <c r="G429" s="14">
        <v>105416</v>
      </c>
      <c r="H429" s="14">
        <v>2051.6190476190459</v>
      </c>
      <c r="I429" s="15">
        <v>375</v>
      </c>
    </row>
    <row r="430" spans="1:9" x14ac:dyDescent="0.3">
      <c r="A430" s="13" t="s">
        <v>29</v>
      </c>
      <c r="B430" s="13" t="s">
        <v>28</v>
      </c>
      <c r="C430" s="13" t="s">
        <v>15</v>
      </c>
      <c r="D430" s="13" t="s">
        <v>14</v>
      </c>
      <c r="E430">
        <v>24</v>
      </c>
      <c r="F430" s="15">
        <v>3960</v>
      </c>
      <c r="G430" s="14">
        <v>1860</v>
      </c>
      <c r="H430" s="14">
        <v>100</v>
      </c>
      <c r="I430" s="15">
        <v>165</v>
      </c>
    </row>
    <row r="431" spans="1:9" x14ac:dyDescent="0.3">
      <c r="A431" s="13" t="s">
        <v>29</v>
      </c>
      <c r="B431" s="13" t="s">
        <v>28</v>
      </c>
      <c r="C431" s="13" t="s">
        <v>12</v>
      </c>
      <c r="D431" s="13" t="s">
        <v>11</v>
      </c>
      <c r="E431">
        <v>32</v>
      </c>
      <c r="F431" s="15">
        <v>19200</v>
      </c>
      <c r="G431" s="14">
        <v>7772</v>
      </c>
      <c r="H431" s="14">
        <v>544.19047619047706</v>
      </c>
      <c r="I431" s="15">
        <v>600</v>
      </c>
    </row>
    <row r="432" spans="1:9" x14ac:dyDescent="0.3">
      <c r="A432" s="13" t="s">
        <v>29</v>
      </c>
      <c r="B432" s="13" t="s">
        <v>28</v>
      </c>
      <c r="C432" s="13" t="s">
        <v>10</v>
      </c>
      <c r="D432" s="13" t="s">
        <v>11</v>
      </c>
      <c r="E432">
        <v>4</v>
      </c>
      <c r="F432" s="15">
        <v>1340</v>
      </c>
      <c r="G432" s="14">
        <v>140</v>
      </c>
      <c r="H432" s="14">
        <v>57.14285714285711</v>
      </c>
      <c r="I432" s="15">
        <v>335</v>
      </c>
    </row>
    <row r="433" spans="1:9" x14ac:dyDescent="0.3">
      <c r="A433" s="13" t="s">
        <v>29</v>
      </c>
      <c r="B433" s="13" t="s">
        <v>28</v>
      </c>
      <c r="C433" s="13" t="s">
        <v>18</v>
      </c>
      <c r="D433" s="13" t="s">
        <v>17</v>
      </c>
      <c r="E433">
        <v>16</v>
      </c>
      <c r="F433" s="15">
        <v>9200</v>
      </c>
      <c r="G433" s="14">
        <v>2504</v>
      </c>
      <c r="H433" s="14">
        <v>717.42857142857156</v>
      </c>
      <c r="I433" s="15">
        <v>575</v>
      </c>
    </row>
    <row r="434" spans="1:9" x14ac:dyDescent="0.3">
      <c r="A434" s="13" t="s">
        <v>29</v>
      </c>
      <c r="B434" s="13" t="s">
        <v>28</v>
      </c>
      <c r="C434" s="13" t="s">
        <v>19</v>
      </c>
      <c r="D434" s="13" t="s">
        <v>17</v>
      </c>
      <c r="E434">
        <v>4</v>
      </c>
      <c r="F434" s="15">
        <v>4600</v>
      </c>
      <c r="G434" s="14">
        <v>1444</v>
      </c>
      <c r="H434" s="14">
        <v>338.14285714285734</v>
      </c>
      <c r="I434" s="15">
        <v>1150</v>
      </c>
    </row>
    <row r="435" spans="1:9" x14ac:dyDescent="0.3">
      <c r="A435" s="13" t="s">
        <v>29</v>
      </c>
      <c r="B435" s="13" t="s">
        <v>28</v>
      </c>
      <c r="C435" s="13" t="s">
        <v>21</v>
      </c>
      <c r="D435" s="13" t="s">
        <v>11</v>
      </c>
      <c r="E435">
        <v>152</v>
      </c>
      <c r="F435" s="15">
        <v>182400</v>
      </c>
      <c r="G435" s="14">
        <v>84192</v>
      </c>
      <c r="H435" s="14">
        <v>4676.5714285714348</v>
      </c>
      <c r="I435" s="15">
        <v>1200</v>
      </c>
    </row>
    <row r="436" spans="1:9" x14ac:dyDescent="0.3">
      <c r="A436" s="13" t="s">
        <v>29</v>
      </c>
      <c r="B436" s="13" t="s">
        <v>28</v>
      </c>
      <c r="C436" s="13" t="s">
        <v>22</v>
      </c>
      <c r="D436" s="13" t="s">
        <v>23</v>
      </c>
      <c r="E436">
        <v>24</v>
      </c>
      <c r="F436" s="15">
        <v>4776</v>
      </c>
      <c r="G436" s="14">
        <v>2380</v>
      </c>
      <c r="H436" s="14">
        <v>114.09523809523807</v>
      </c>
      <c r="I436" s="15">
        <v>199</v>
      </c>
    </row>
    <row r="437" spans="1:9" x14ac:dyDescent="0.3">
      <c r="A437" s="13" t="s">
        <v>29</v>
      </c>
      <c r="B437" s="13" t="s">
        <v>28</v>
      </c>
      <c r="C437" s="13" t="s">
        <v>24</v>
      </c>
      <c r="D437" s="13" t="s">
        <v>23</v>
      </c>
      <c r="E437">
        <v>32</v>
      </c>
      <c r="F437" s="15">
        <v>14400</v>
      </c>
      <c r="G437" s="14">
        <v>6468</v>
      </c>
      <c r="H437" s="14">
        <v>377.71428571428623</v>
      </c>
      <c r="I437" s="15">
        <v>450</v>
      </c>
    </row>
    <row r="438" spans="1:9" x14ac:dyDescent="0.3">
      <c r="A438" s="13" t="s">
        <v>29</v>
      </c>
      <c r="B438" s="13" t="s">
        <v>28</v>
      </c>
      <c r="C438" s="13" t="s">
        <v>25</v>
      </c>
      <c r="D438" s="13" t="s">
        <v>23</v>
      </c>
      <c r="E438">
        <v>56</v>
      </c>
      <c r="F438" s="15">
        <v>50400</v>
      </c>
      <c r="G438" s="14">
        <v>28048</v>
      </c>
      <c r="H438" s="14">
        <v>3409.6271186440681</v>
      </c>
      <c r="I438" s="15">
        <v>900</v>
      </c>
    </row>
    <row r="439" spans="1:9" x14ac:dyDescent="0.3">
      <c r="A439" s="13" t="s">
        <v>29</v>
      </c>
      <c r="B439" s="13" t="s">
        <v>28</v>
      </c>
      <c r="C439" s="13" t="s">
        <v>13</v>
      </c>
      <c r="D439" s="13" t="s">
        <v>14</v>
      </c>
      <c r="E439">
        <v>636</v>
      </c>
      <c r="F439" s="15">
        <v>238500</v>
      </c>
      <c r="G439" s="14">
        <v>172204</v>
      </c>
      <c r="H439" s="14">
        <v>3156.9523809523816</v>
      </c>
      <c r="I439" s="15">
        <v>375</v>
      </c>
    </row>
    <row r="440" spans="1:9" x14ac:dyDescent="0.3">
      <c r="A440" s="13" t="s">
        <v>29</v>
      </c>
      <c r="B440" s="13" t="s">
        <v>28</v>
      </c>
      <c r="C440" s="13" t="s">
        <v>15</v>
      </c>
      <c r="D440" s="13" t="s">
        <v>14</v>
      </c>
      <c r="E440">
        <v>12</v>
      </c>
      <c r="F440" s="15">
        <v>1980</v>
      </c>
      <c r="G440" s="14">
        <v>892</v>
      </c>
      <c r="H440" s="14">
        <v>51.809523809523853</v>
      </c>
      <c r="I440" s="15">
        <v>165</v>
      </c>
    </row>
    <row r="441" spans="1:9" x14ac:dyDescent="0.3">
      <c r="A441" s="13" t="s">
        <v>29</v>
      </c>
      <c r="B441" s="13" t="s">
        <v>28</v>
      </c>
      <c r="C441" s="13" t="s">
        <v>12</v>
      </c>
      <c r="D441" s="13" t="s">
        <v>11</v>
      </c>
      <c r="E441">
        <v>60</v>
      </c>
      <c r="F441" s="15">
        <v>36000</v>
      </c>
      <c r="G441" s="14">
        <v>14224</v>
      </c>
      <c r="H441" s="14">
        <v>1036.9523809523816</v>
      </c>
      <c r="I441" s="15">
        <v>600</v>
      </c>
    </row>
    <row r="442" spans="1:9" x14ac:dyDescent="0.3">
      <c r="A442" s="13" t="s">
        <v>29</v>
      </c>
      <c r="B442" s="13" t="s">
        <v>28</v>
      </c>
      <c r="C442" s="13" t="s">
        <v>18</v>
      </c>
      <c r="D442" s="13" t="s">
        <v>17</v>
      </c>
      <c r="E442">
        <v>16</v>
      </c>
      <c r="F442" s="15">
        <v>9200</v>
      </c>
      <c r="G442" s="14">
        <v>2928</v>
      </c>
      <c r="H442" s="14">
        <v>672.00000000000091</v>
      </c>
      <c r="I442" s="15">
        <v>575</v>
      </c>
    </row>
    <row r="443" spans="1:9" x14ac:dyDescent="0.3">
      <c r="A443" s="13" t="s">
        <v>29</v>
      </c>
      <c r="B443" s="13" t="s">
        <v>28</v>
      </c>
      <c r="C443" s="13" t="s">
        <v>19</v>
      </c>
      <c r="D443" s="13" t="s">
        <v>17</v>
      </c>
      <c r="E443">
        <v>12</v>
      </c>
      <c r="F443" s="15">
        <v>13800</v>
      </c>
      <c r="G443" s="14">
        <v>5012</v>
      </c>
      <c r="H443" s="14">
        <v>941.57142857142935</v>
      </c>
      <c r="I443" s="15">
        <v>1150</v>
      </c>
    </row>
    <row r="444" spans="1:9" x14ac:dyDescent="0.3">
      <c r="A444" s="13" t="s">
        <v>29</v>
      </c>
      <c r="B444" s="13" t="s">
        <v>28</v>
      </c>
      <c r="C444" s="13" t="s">
        <v>21</v>
      </c>
      <c r="D444" s="13" t="s">
        <v>11</v>
      </c>
      <c r="E444">
        <v>168</v>
      </c>
      <c r="F444" s="15">
        <v>201600</v>
      </c>
      <c r="G444" s="14">
        <v>90336</v>
      </c>
      <c r="H444" s="14">
        <v>5298.2857142857247</v>
      </c>
      <c r="I444" s="15">
        <v>1200</v>
      </c>
    </row>
    <row r="445" spans="1:9" x14ac:dyDescent="0.3">
      <c r="A445" s="13" t="s">
        <v>29</v>
      </c>
      <c r="B445" s="13" t="s">
        <v>28</v>
      </c>
      <c r="C445" s="13" t="s">
        <v>22</v>
      </c>
      <c r="D445" s="13" t="s">
        <v>23</v>
      </c>
      <c r="E445">
        <v>36</v>
      </c>
      <c r="F445" s="15">
        <v>7164</v>
      </c>
      <c r="G445" s="14">
        <v>3580</v>
      </c>
      <c r="H445" s="14">
        <v>170.66666666666697</v>
      </c>
      <c r="I445" s="15">
        <v>199</v>
      </c>
    </row>
    <row r="446" spans="1:9" x14ac:dyDescent="0.3">
      <c r="A446" s="13" t="s">
        <v>29</v>
      </c>
      <c r="B446" s="13" t="s">
        <v>28</v>
      </c>
      <c r="C446" s="13" t="s">
        <v>24</v>
      </c>
      <c r="D446" s="13" t="s">
        <v>23</v>
      </c>
      <c r="E446">
        <v>60</v>
      </c>
      <c r="F446" s="15">
        <v>27000</v>
      </c>
      <c r="G446" s="14">
        <v>13824</v>
      </c>
      <c r="H446" s="14">
        <v>627.42857142857247</v>
      </c>
      <c r="I446" s="15">
        <v>450</v>
      </c>
    </row>
    <row r="447" spans="1:9" x14ac:dyDescent="0.3">
      <c r="A447" s="13" t="s">
        <v>29</v>
      </c>
      <c r="B447" s="13" t="s">
        <v>28</v>
      </c>
      <c r="C447" s="13" t="s">
        <v>25</v>
      </c>
      <c r="D447" s="13" t="s">
        <v>23</v>
      </c>
      <c r="E447">
        <v>56</v>
      </c>
      <c r="F447" s="15">
        <v>50400</v>
      </c>
      <c r="G447" s="14">
        <v>28556</v>
      </c>
      <c r="H447" s="14">
        <v>3332.1355932203369</v>
      </c>
      <c r="I447" s="15">
        <v>900</v>
      </c>
    </row>
    <row r="448" spans="1:9" x14ac:dyDescent="0.3">
      <c r="A448" s="13" t="s">
        <v>29</v>
      </c>
      <c r="B448" s="13" t="s">
        <v>28</v>
      </c>
      <c r="C448" s="13" t="s">
        <v>13</v>
      </c>
      <c r="D448" s="13" t="s">
        <v>14</v>
      </c>
      <c r="E448">
        <v>336</v>
      </c>
      <c r="F448" s="15">
        <v>126000</v>
      </c>
      <c r="G448" s="14">
        <v>89316</v>
      </c>
      <c r="H448" s="14">
        <v>1746.8571428571449</v>
      </c>
      <c r="I448" s="15">
        <v>375</v>
      </c>
    </row>
    <row r="449" spans="1:9" x14ac:dyDescent="0.3">
      <c r="A449" s="13" t="s">
        <v>29</v>
      </c>
      <c r="B449" s="13" t="s">
        <v>28</v>
      </c>
      <c r="C449" s="13" t="s">
        <v>15</v>
      </c>
      <c r="D449" s="13" t="s">
        <v>14</v>
      </c>
      <c r="E449">
        <v>12</v>
      </c>
      <c r="F449" s="15">
        <v>1980</v>
      </c>
      <c r="G449" s="14">
        <v>948</v>
      </c>
      <c r="H449" s="14">
        <v>49.142857142857224</v>
      </c>
      <c r="I449" s="15">
        <v>165</v>
      </c>
    </row>
    <row r="450" spans="1:9" x14ac:dyDescent="0.3">
      <c r="A450" s="13" t="s">
        <v>29</v>
      </c>
      <c r="B450" s="13" t="s">
        <v>28</v>
      </c>
      <c r="C450" s="13" t="s">
        <v>12</v>
      </c>
      <c r="D450" s="13" t="s">
        <v>11</v>
      </c>
      <c r="E450">
        <v>116</v>
      </c>
      <c r="F450" s="15">
        <v>69600</v>
      </c>
      <c r="G450" s="14">
        <v>27564</v>
      </c>
      <c r="H450" s="14">
        <v>2001.7142857142899</v>
      </c>
      <c r="I450" s="15">
        <v>600</v>
      </c>
    </row>
    <row r="451" spans="1:9" x14ac:dyDescent="0.3">
      <c r="A451" s="13" t="s">
        <v>29</v>
      </c>
      <c r="B451" s="13" t="s">
        <v>28</v>
      </c>
      <c r="C451" s="13" t="s">
        <v>18</v>
      </c>
      <c r="D451" s="13" t="s">
        <v>17</v>
      </c>
      <c r="E451">
        <v>8</v>
      </c>
      <c r="F451" s="15">
        <v>4600</v>
      </c>
      <c r="G451" s="14">
        <v>1464</v>
      </c>
      <c r="H451" s="14">
        <v>336.00000000000045</v>
      </c>
      <c r="I451" s="15">
        <v>575</v>
      </c>
    </row>
    <row r="452" spans="1:9" x14ac:dyDescent="0.3">
      <c r="A452" s="13" t="s">
        <v>29</v>
      </c>
      <c r="B452" s="13" t="s">
        <v>28</v>
      </c>
      <c r="C452" s="13" t="s">
        <v>19</v>
      </c>
      <c r="D452" s="13" t="s">
        <v>17</v>
      </c>
      <c r="E452">
        <v>4</v>
      </c>
      <c r="F452" s="15">
        <v>4600</v>
      </c>
      <c r="G452" s="14">
        <v>1444</v>
      </c>
      <c r="H452" s="14">
        <v>338.14285714285734</v>
      </c>
      <c r="I452" s="15">
        <v>1150</v>
      </c>
    </row>
    <row r="453" spans="1:9" x14ac:dyDescent="0.3">
      <c r="A453" s="13" t="s">
        <v>29</v>
      </c>
      <c r="B453" s="13" t="s">
        <v>28</v>
      </c>
      <c r="C453" s="13" t="s">
        <v>21</v>
      </c>
      <c r="D453" s="13" t="s">
        <v>11</v>
      </c>
      <c r="E453">
        <v>108</v>
      </c>
      <c r="F453" s="15">
        <v>129600</v>
      </c>
      <c r="G453" s="14">
        <v>58200</v>
      </c>
      <c r="H453" s="14">
        <v>3400</v>
      </c>
      <c r="I453" s="15">
        <v>1200</v>
      </c>
    </row>
    <row r="454" spans="1:9" x14ac:dyDescent="0.3">
      <c r="A454" s="13" t="s">
        <v>29</v>
      </c>
      <c r="B454" s="13" t="s">
        <v>28</v>
      </c>
      <c r="C454" s="13" t="s">
        <v>20</v>
      </c>
      <c r="D454" s="13" t="s">
        <v>14</v>
      </c>
      <c r="E454">
        <v>4</v>
      </c>
      <c r="F454" s="15">
        <v>3000</v>
      </c>
      <c r="G454" s="14">
        <v>1184</v>
      </c>
      <c r="H454" s="14">
        <v>86.476190476190595</v>
      </c>
      <c r="I454" s="15">
        <v>750</v>
      </c>
    </row>
    <row r="455" spans="1:9" x14ac:dyDescent="0.3">
      <c r="A455" s="13" t="s">
        <v>29</v>
      </c>
      <c r="B455" s="13" t="s">
        <v>28</v>
      </c>
      <c r="C455" s="13" t="s">
        <v>22</v>
      </c>
      <c r="D455" s="13" t="s">
        <v>23</v>
      </c>
      <c r="E455">
        <v>12</v>
      </c>
      <c r="F455" s="15">
        <v>2388</v>
      </c>
      <c r="G455" s="14">
        <v>1188</v>
      </c>
      <c r="H455" s="14">
        <v>57.14285714285711</v>
      </c>
      <c r="I455" s="15">
        <v>199</v>
      </c>
    </row>
    <row r="456" spans="1:9" x14ac:dyDescent="0.3">
      <c r="A456" s="13" t="s">
        <v>29</v>
      </c>
      <c r="B456" s="13" t="s">
        <v>28</v>
      </c>
      <c r="C456" s="13" t="s">
        <v>24</v>
      </c>
      <c r="D456" s="13" t="s">
        <v>23</v>
      </c>
      <c r="E456">
        <v>44</v>
      </c>
      <c r="F456" s="15">
        <v>19800</v>
      </c>
      <c r="G456" s="14">
        <v>10052</v>
      </c>
      <c r="H456" s="14">
        <v>464.19047619047706</v>
      </c>
      <c r="I456" s="15">
        <v>450</v>
      </c>
    </row>
    <row r="457" spans="1:9" x14ac:dyDescent="0.3">
      <c r="A457" s="13" t="s">
        <v>29</v>
      </c>
      <c r="B457" s="13" t="s">
        <v>28</v>
      </c>
      <c r="C457" s="13" t="s">
        <v>25</v>
      </c>
      <c r="D457" s="13" t="s">
        <v>23</v>
      </c>
      <c r="E457">
        <v>36</v>
      </c>
      <c r="F457" s="15">
        <v>32400</v>
      </c>
      <c r="G457" s="14">
        <v>18412</v>
      </c>
      <c r="H457" s="14">
        <v>2133.7627118644068</v>
      </c>
      <c r="I457" s="15">
        <v>900</v>
      </c>
    </row>
    <row r="458" spans="1:9" x14ac:dyDescent="0.3">
      <c r="A458" s="13" t="s">
        <v>29</v>
      </c>
      <c r="B458" s="13" t="s">
        <v>28</v>
      </c>
      <c r="C458" s="13" t="s">
        <v>13</v>
      </c>
      <c r="D458" s="13" t="s">
        <v>14</v>
      </c>
      <c r="E458">
        <v>308</v>
      </c>
      <c r="F458" s="15">
        <v>115500</v>
      </c>
      <c r="G458" s="14">
        <v>83412</v>
      </c>
      <c r="H458" s="14">
        <v>1528</v>
      </c>
      <c r="I458" s="15">
        <v>375</v>
      </c>
    </row>
    <row r="459" spans="1:9" x14ac:dyDescent="0.3">
      <c r="A459" s="13" t="s">
        <v>29</v>
      </c>
      <c r="B459" s="13" t="s">
        <v>28</v>
      </c>
      <c r="C459" s="13" t="s">
        <v>15</v>
      </c>
      <c r="D459" s="13" t="s">
        <v>14</v>
      </c>
      <c r="E459">
        <v>36</v>
      </c>
      <c r="F459" s="15">
        <v>5940</v>
      </c>
      <c r="G459" s="14">
        <v>2824</v>
      </c>
      <c r="H459" s="14">
        <v>148.38095238095229</v>
      </c>
      <c r="I459" s="15">
        <v>165</v>
      </c>
    </row>
    <row r="460" spans="1:9" x14ac:dyDescent="0.3">
      <c r="A460" s="13" t="s">
        <v>29</v>
      </c>
      <c r="B460" s="13" t="s">
        <v>28</v>
      </c>
      <c r="C460" s="13" t="s">
        <v>12</v>
      </c>
      <c r="D460" s="13" t="s">
        <v>11</v>
      </c>
      <c r="E460">
        <v>96</v>
      </c>
      <c r="F460" s="15">
        <v>57600</v>
      </c>
      <c r="G460" s="14">
        <v>22668</v>
      </c>
      <c r="H460" s="14">
        <v>1663.4285714285725</v>
      </c>
      <c r="I460" s="15">
        <v>600</v>
      </c>
    </row>
    <row r="461" spans="1:9" x14ac:dyDescent="0.3">
      <c r="A461" s="13" t="s">
        <v>29</v>
      </c>
      <c r="B461" s="13" t="s">
        <v>28</v>
      </c>
      <c r="C461" s="13" t="s">
        <v>18</v>
      </c>
      <c r="D461" s="13" t="s">
        <v>17</v>
      </c>
      <c r="E461">
        <v>8</v>
      </c>
      <c r="F461" s="15">
        <v>4600</v>
      </c>
      <c r="G461" s="14">
        <v>1504</v>
      </c>
      <c r="H461" s="14">
        <v>331.71428571428578</v>
      </c>
      <c r="I461" s="15">
        <v>575</v>
      </c>
    </row>
    <row r="462" spans="1:9" x14ac:dyDescent="0.3">
      <c r="A462" s="13" t="s">
        <v>29</v>
      </c>
      <c r="B462" s="13" t="s">
        <v>28</v>
      </c>
      <c r="C462" s="13" t="s">
        <v>19</v>
      </c>
      <c r="D462" s="13" t="s">
        <v>17</v>
      </c>
      <c r="E462">
        <v>8</v>
      </c>
      <c r="F462" s="15">
        <v>9200</v>
      </c>
      <c r="G462" s="14">
        <v>2848</v>
      </c>
      <c r="H462" s="14">
        <v>680.57142857142935</v>
      </c>
      <c r="I462" s="15">
        <v>1150</v>
      </c>
    </row>
    <row r="463" spans="1:9" x14ac:dyDescent="0.3">
      <c r="A463" s="13" t="s">
        <v>29</v>
      </c>
      <c r="B463" s="13" t="s">
        <v>28</v>
      </c>
      <c r="C463" s="13" t="s">
        <v>21</v>
      </c>
      <c r="D463" s="13" t="s">
        <v>11</v>
      </c>
      <c r="E463">
        <v>96</v>
      </c>
      <c r="F463" s="15">
        <v>115200</v>
      </c>
      <c r="G463" s="14">
        <v>50328</v>
      </c>
      <c r="H463" s="14">
        <v>3089.1428571428623</v>
      </c>
      <c r="I463" s="15">
        <v>1200</v>
      </c>
    </row>
    <row r="464" spans="1:9" x14ac:dyDescent="0.3">
      <c r="A464" s="13" t="s">
        <v>29</v>
      </c>
      <c r="B464" s="13" t="s">
        <v>28</v>
      </c>
      <c r="C464" s="13" t="s">
        <v>22</v>
      </c>
      <c r="D464" s="13" t="s">
        <v>23</v>
      </c>
      <c r="E464">
        <v>24</v>
      </c>
      <c r="F464" s="15">
        <v>4776</v>
      </c>
      <c r="G464" s="14">
        <v>2400</v>
      </c>
      <c r="H464" s="14">
        <v>113.14285714285734</v>
      </c>
      <c r="I464" s="15">
        <v>199</v>
      </c>
    </row>
    <row r="465" spans="1:9" x14ac:dyDescent="0.3">
      <c r="A465" s="13" t="s">
        <v>29</v>
      </c>
      <c r="B465" s="13" t="s">
        <v>28</v>
      </c>
      <c r="C465" s="13" t="s">
        <v>24</v>
      </c>
      <c r="D465" s="13" t="s">
        <v>23</v>
      </c>
      <c r="E465">
        <v>80</v>
      </c>
      <c r="F465" s="15">
        <v>36000</v>
      </c>
      <c r="G465" s="14">
        <v>18336</v>
      </c>
      <c r="H465" s="14">
        <v>841.1428571428587</v>
      </c>
      <c r="I465" s="15">
        <v>450</v>
      </c>
    </row>
    <row r="466" spans="1:9" x14ac:dyDescent="0.3">
      <c r="A466" s="13" t="s">
        <v>29</v>
      </c>
      <c r="B466" s="13" t="s">
        <v>28</v>
      </c>
      <c r="C466" s="13" t="s">
        <v>25</v>
      </c>
      <c r="D466" s="13" t="s">
        <v>23</v>
      </c>
      <c r="E466">
        <v>32</v>
      </c>
      <c r="F466" s="15">
        <v>28800</v>
      </c>
      <c r="G466" s="14">
        <v>16272</v>
      </c>
      <c r="H466" s="14">
        <v>1911.0508474576272</v>
      </c>
      <c r="I466" s="15">
        <v>900</v>
      </c>
    </row>
    <row r="467" spans="1:9" x14ac:dyDescent="0.3">
      <c r="A467" s="13" t="s">
        <v>29</v>
      </c>
      <c r="B467" s="13" t="s">
        <v>28</v>
      </c>
      <c r="C467" s="13" t="s">
        <v>13</v>
      </c>
      <c r="D467" s="13" t="s">
        <v>14</v>
      </c>
      <c r="E467">
        <v>396</v>
      </c>
      <c r="F467" s="15">
        <v>148500</v>
      </c>
      <c r="G467" s="14">
        <v>107480</v>
      </c>
      <c r="H467" s="14">
        <v>1953.3333333333358</v>
      </c>
      <c r="I467" s="15">
        <v>375</v>
      </c>
    </row>
    <row r="468" spans="1:9" x14ac:dyDescent="0.3">
      <c r="A468" s="13" t="s">
        <v>29</v>
      </c>
      <c r="B468" s="13" t="s">
        <v>28</v>
      </c>
      <c r="C468" s="13" t="s">
        <v>12</v>
      </c>
      <c r="D468" s="13" t="s">
        <v>11</v>
      </c>
      <c r="E468">
        <v>36</v>
      </c>
      <c r="F468" s="15">
        <v>21600</v>
      </c>
      <c r="G468" s="14">
        <v>8356</v>
      </c>
      <c r="H468" s="14">
        <v>630.66666666666788</v>
      </c>
      <c r="I468" s="15">
        <v>600</v>
      </c>
    </row>
    <row r="469" spans="1:9" x14ac:dyDescent="0.3">
      <c r="A469" s="13" t="s">
        <v>29</v>
      </c>
      <c r="B469" s="13" t="s">
        <v>28</v>
      </c>
      <c r="C469" s="13" t="s">
        <v>16</v>
      </c>
      <c r="D469" s="13" t="s">
        <v>17</v>
      </c>
      <c r="E469">
        <v>8</v>
      </c>
      <c r="F469" s="15">
        <v>2392</v>
      </c>
      <c r="G469" s="14">
        <v>192</v>
      </c>
      <c r="H469" s="14">
        <v>235.71428571428601</v>
      </c>
      <c r="I469" s="15">
        <v>299</v>
      </c>
    </row>
    <row r="470" spans="1:9" x14ac:dyDescent="0.3">
      <c r="A470" s="13" t="s">
        <v>29</v>
      </c>
      <c r="B470" s="13" t="s">
        <v>28</v>
      </c>
      <c r="C470" s="13" t="s">
        <v>18</v>
      </c>
      <c r="D470" s="13" t="s">
        <v>17</v>
      </c>
      <c r="E470">
        <v>4</v>
      </c>
      <c r="F470" s="15">
        <v>2300</v>
      </c>
      <c r="G470" s="14">
        <v>732</v>
      </c>
      <c r="H470" s="14">
        <v>168.00000000000023</v>
      </c>
      <c r="I470" s="15">
        <v>575</v>
      </c>
    </row>
    <row r="471" spans="1:9" x14ac:dyDescent="0.3">
      <c r="A471" s="13" t="s">
        <v>29</v>
      </c>
      <c r="B471" s="13" t="s">
        <v>28</v>
      </c>
      <c r="C471" s="13" t="s">
        <v>19</v>
      </c>
      <c r="D471" s="13" t="s">
        <v>17</v>
      </c>
      <c r="E471">
        <v>8</v>
      </c>
      <c r="F471" s="15">
        <v>9200</v>
      </c>
      <c r="G471" s="14">
        <v>2996</v>
      </c>
      <c r="H471" s="14">
        <v>664.71428571428623</v>
      </c>
      <c r="I471" s="15">
        <v>1150</v>
      </c>
    </row>
    <row r="472" spans="1:9" x14ac:dyDescent="0.3">
      <c r="A472" s="13" t="s">
        <v>29</v>
      </c>
      <c r="B472" s="13" t="s">
        <v>28</v>
      </c>
      <c r="C472" s="13" t="s">
        <v>21</v>
      </c>
      <c r="D472" s="13" t="s">
        <v>11</v>
      </c>
      <c r="E472">
        <v>128</v>
      </c>
      <c r="F472" s="15">
        <v>153600</v>
      </c>
      <c r="G472" s="14">
        <v>66316</v>
      </c>
      <c r="H472" s="14">
        <v>4156.3809523809614</v>
      </c>
      <c r="I472" s="15">
        <v>1200</v>
      </c>
    </row>
    <row r="473" spans="1:9" x14ac:dyDescent="0.3">
      <c r="A473" s="13" t="s">
        <v>29</v>
      </c>
      <c r="B473" s="13" t="s">
        <v>28</v>
      </c>
      <c r="C473" s="13" t="s">
        <v>22</v>
      </c>
      <c r="D473" s="13" t="s">
        <v>23</v>
      </c>
      <c r="E473">
        <v>36</v>
      </c>
      <c r="F473" s="15">
        <v>7164</v>
      </c>
      <c r="G473" s="14">
        <v>3580</v>
      </c>
      <c r="H473" s="14">
        <v>170.66666666666697</v>
      </c>
      <c r="I473" s="15">
        <v>199</v>
      </c>
    </row>
    <row r="474" spans="1:9" x14ac:dyDescent="0.3">
      <c r="A474" s="13" t="s">
        <v>29</v>
      </c>
      <c r="B474" s="13" t="s">
        <v>28</v>
      </c>
      <c r="C474" s="13" t="s">
        <v>24</v>
      </c>
      <c r="D474" s="13" t="s">
        <v>23</v>
      </c>
      <c r="E474">
        <v>52</v>
      </c>
      <c r="F474" s="15">
        <v>23400</v>
      </c>
      <c r="G474" s="14">
        <v>11856</v>
      </c>
      <c r="H474" s="14">
        <v>549.71428571428623</v>
      </c>
      <c r="I474" s="15">
        <v>450</v>
      </c>
    </row>
    <row r="475" spans="1:9" x14ac:dyDescent="0.3">
      <c r="A475" s="13" t="s">
        <v>29</v>
      </c>
      <c r="B475" s="13" t="s">
        <v>28</v>
      </c>
      <c r="C475" s="13" t="s">
        <v>25</v>
      </c>
      <c r="D475" s="13" t="s">
        <v>23</v>
      </c>
      <c r="E475">
        <v>28</v>
      </c>
      <c r="F475" s="15">
        <v>25200</v>
      </c>
      <c r="G475" s="14">
        <v>14136</v>
      </c>
      <c r="H475" s="14">
        <v>1687.7288135593208</v>
      </c>
      <c r="I475" s="15">
        <v>900</v>
      </c>
    </row>
    <row r="476" spans="1:9" x14ac:dyDescent="0.3">
      <c r="A476" s="13" t="s">
        <v>29</v>
      </c>
      <c r="B476" s="13" t="s">
        <v>28</v>
      </c>
      <c r="C476" s="13" t="s">
        <v>13</v>
      </c>
      <c r="D476" s="13" t="s">
        <v>14</v>
      </c>
      <c r="E476">
        <v>340</v>
      </c>
      <c r="F476" s="15">
        <v>127500</v>
      </c>
      <c r="G476" s="14">
        <v>91532</v>
      </c>
      <c r="H476" s="14">
        <v>1712.7619047619082</v>
      </c>
      <c r="I476" s="15">
        <v>375</v>
      </c>
    </row>
    <row r="477" spans="1:9" x14ac:dyDescent="0.3">
      <c r="A477" s="13" t="s">
        <v>29</v>
      </c>
      <c r="B477" s="13" t="s">
        <v>28</v>
      </c>
      <c r="C477" s="13" t="s">
        <v>12</v>
      </c>
      <c r="D477" s="13" t="s">
        <v>11</v>
      </c>
      <c r="E477">
        <v>52</v>
      </c>
      <c r="F477" s="15">
        <v>31200</v>
      </c>
      <c r="G477" s="14">
        <v>12212</v>
      </c>
      <c r="H477" s="14">
        <v>904.19047619047706</v>
      </c>
      <c r="I477" s="15">
        <v>600</v>
      </c>
    </row>
    <row r="478" spans="1:9" x14ac:dyDescent="0.3">
      <c r="A478" s="13" t="s">
        <v>29</v>
      </c>
      <c r="B478" s="13" t="s">
        <v>28</v>
      </c>
      <c r="C478" s="13" t="s">
        <v>18</v>
      </c>
      <c r="D478" s="13" t="s">
        <v>17</v>
      </c>
      <c r="E478">
        <v>20</v>
      </c>
      <c r="F478" s="15">
        <v>11500</v>
      </c>
      <c r="G478" s="14">
        <v>3976</v>
      </c>
      <c r="H478" s="14">
        <v>806.14285714285779</v>
      </c>
      <c r="I478" s="15">
        <v>575</v>
      </c>
    </row>
    <row r="479" spans="1:9" x14ac:dyDescent="0.3">
      <c r="A479" s="13" t="s">
        <v>29</v>
      </c>
      <c r="B479" s="13" t="s">
        <v>28</v>
      </c>
      <c r="C479" s="13" t="s">
        <v>19</v>
      </c>
      <c r="D479" s="13" t="s">
        <v>17</v>
      </c>
      <c r="E479">
        <v>8</v>
      </c>
      <c r="F479" s="15">
        <v>9200</v>
      </c>
      <c r="G479" s="14">
        <v>2772</v>
      </c>
      <c r="H479" s="14">
        <v>688.71428571428623</v>
      </c>
      <c r="I479" s="15">
        <v>1150</v>
      </c>
    </row>
    <row r="480" spans="1:9" x14ac:dyDescent="0.3">
      <c r="A480" s="13" t="s">
        <v>29</v>
      </c>
      <c r="B480" s="13" t="s">
        <v>28</v>
      </c>
      <c r="C480" s="13" t="s">
        <v>21</v>
      </c>
      <c r="D480" s="13" t="s">
        <v>11</v>
      </c>
      <c r="E480">
        <v>160</v>
      </c>
      <c r="F480" s="15">
        <v>192000</v>
      </c>
      <c r="G480" s="14">
        <v>88680</v>
      </c>
      <c r="H480" s="14">
        <v>4920</v>
      </c>
      <c r="I480" s="15">
        <v>1200</v>
      </c>
    </row>
    <row r="481" spans="1:9" x14ac:dyDescent="0.3">
      <c r="A481" s="13" t="s">
        <v>29</v>
      </c>
      <c r="B481" s="13" t="s">
        <v>28</v>
      </c>
      <c r="C481" s="13" t="s">
        <v>22</v>
      </c>
      <c r="D481" s="13" t="s">
        <v>23</v>
      </c>
      <c r="E481">
        <v>12</v>
      </c>
      <c r="F481" s="15">
        <v>2388</v>
      </c>
      <c r="G481" s="14">
        <v>1200</v>
      </c>
      <c r="H481" s="14">
        <v>56.571428571428669</v>
      </c>
      <c r="I481" s="15">
        <v>199</v>
      </c>
    </row>
    <row r="482" spans="1:9" x14ac:dyDescent="0.3">
      <c r="A482" s="13" t="s">
        <v>29</v>
      </c>
      <c r="B482" s="13" t="s">
        <v>28</v>
      </c>
      <c r="C482" s="13" t="s">
        <v>24</v>
      </c>
      <c r="D482" s="13" t="s">
        <v>23</v>
      </c>
      <c r="E482">
        <v>56</v>
      </c>
      <c r="F482" s="15">
        <v>25200</v>
      </c>
      <c r="G482" s="14">
        <v>12820</v>
      </c>
      <c r="H482" s="14">
        <v>589.52380952380918</v>
      </c>
      <c r="I482" s="15">
        <v>450</v>
      </c>
    </row>
    <row r="483" spans="1:9" x14ac:dyDescent="0.3">
      <c r="A483" s="13" t="s">
        <v>29</v>
      </c>
      <c r="B483" s="13" t="s">
        <v>28</v>
      </c>
      <c r="C483" s="13" t="s">
        <v>25</v>
      </c>
      <c r="D483" s="13" t="s">
        <v>23</v>
      </c>
      <c r="E483">
        <v>36</v>
      </c>
      <c r="F483" s="15">
        <v>32400</v>
      </c>
      <c r="G483" s="14">
        <v>18392</v>
      </c>
      <c r="H483" s="14">
        <v>2136.8135593220341</v>
      </c>
      <c r="I483" s="15">
        <v>900</v>
      </c>
    </row>
    <row r="484" spans="1:9" x14ac:dyDescent="0.3">
      <c r="A484" s="13" t="s">
        <v>29</v>
      </c>
      <c r="B484" s="13" t="s">
        <v>28</v>
      </c>
      <c r="C484" s="13" t="s">
        <v>13</v>
      </c>
      <c r="D484" s="13" t="s">
        <v>14</v>
      </c>
      <c r="E484">
        <v>384</v>
      </c>
      <c r="F484" s="15">
        <v>144000</v>
      </c>
      <c r="G484" s="14">
        <v>103976</v>
      </c>
      <c r="H484" s="14">
        <v>1905.9047619047633</v>
      </c>
      <c r="I484" s="15">
        <v>375</v>
      </c>
    </row>
    <row r="485" spans="1:9" x14ac:dyDescent="0.3">
      <c r="A485" s="13" t="s">
        <v>29</v>
      </c>
      <c r="B485" s="13" t="s">
        <v>28</v>
      </c>
      <c r="C485" s="13" t="s">
        <v>12</v>
      </c>
      <c r="D485" s="13" t="s">
        <v>11</v>
      </c>
      <c r="E485">
        <v>60</v>
      </c>
      <c r="F485" s="15">
        <v>36000</v>
      </c>
      <c r="G485" s="14">
        <v>14200</v>
      </c>
      <c r="H485" s="14">
        <v>1038.0952380952403</v>
      </c>
      <c r="I485" s="15">
        <v>600</v>
      </c>
    </row>
    <row r="486" spans="1:9" x14ac:dyDescent="0.3">
      <c r="A486" s="13" t="s">
        <v>29</v>
      </c>
      <c r="B486" s="13" t="s">
        <v>28</v>
      </c>
      <c r="C486" s="13" t="s">
        <v>18</v>
      </c>
      <c r="D486" s="13" t="s">
        <v>17</v>
      </c>
      <c r="E486">
        <v>4</v>
      </c>
      <c r="F486" s="15">
        <v>2300</v>
      </c>
      <c r="G486" s="14">
        <v>712</v>
      </c>
      <c r="H486" s="14">
        <v>170.14285714285734</v>
      </c>
      <c r="I486" s="15">
        <v>575</v>
      </c>
    </row>
    <row r="487" spans="1:9" x14ac:dyDescent="0.3">
      <c r="A487" s="13" t="s">
        <v>29</v>
      </c>
      <c r="B487" s="13" t="s">
        <v>28</v>
      </c>
      <c r="C487" s="13" t="s">
        <v>21</v>
      </c>
      <c r="D487" s="13" t="s">
        <v>11</v>
      </c>
      <c r="E487">
        <v>124</v>
      </c>
      <c r="F487" s="15">
        <v>148800</v>
      </c>
      <c r="G487" s="14">
        <v>65452</v>
      </c>
      <c r="H487" s="14">
        <v>3968.9523809523816</v>
      </c>
      <c r="I487" s="15">
        <v>1200</v>
      </c>
    </row>
    <row r="488" spans="1:9" x14ac:dyDescent="0.3">
      <c r="A488" s="13" t="s">
        <v>29</v>
      </c>
      <c r="B488" s="13" t="s">
        <v>28</v>
      </c>
      <c r="C488" s="13" t="s">
        <v>20</v>
      </c>
      <c r="D488" s="13" t="s">
        <v>14</v>
      </c>
      <c r="E488">
        <v>4</v>
      </c>
      <c r="F488" s="15">
        <v>3000</v>
      </c>
      <c r="G488" s="14">
        <v>1244</v>
      </c>
      <c r="H488" s="14">
        <v>83.619047619047706</v>
      </c>
      <c r="I488" s="15">
        <v>750</v>
      </c>
    </row>
    <row r="489" spans="1:9" x14ac:dyDescent="0.3">
      <c r="A489" s="13" t="s">
        <v>29</v>
      </c>
      <c r="B489" s="13" t="s">
        <v>28</v>
      </c>
      <c r="C489" s="13" t="s">
        <v>22</v>
      </c>
      <c r="D489" s="13" t="s">
        <v>23</v>
      </c>
      <c r="E489">
        <v>24</v>
      </c>
      <c r="F489" s="15">
        <v>4776</v>
      </c>
      <c r="G489" s="14">
        <v>2380</v>
      </c>
      <c r="H489" s="14">
        <v>114.09523809523807</v>
      </c>
      <c r="I489" s="15">
        <v>199</v>
      </c>
    </row>
    <row r="490" spans="1:9" x14ac:dyDescent="0.3">
      <c r="A490" s="13" t="s">
        <v>29</v>
      </c>
      <c r="B490" s="13" t="s">
        <v>28</v>
      </c>
      <c r="C490" s="13" t="s">
        <v>24</v>
      </c>
      <c r="D490" s="13" t="s">
        <v>23</v>
      </c>
      <c r="E490">
        <v>56</v>
      </c>
      <c r="F490" s="15">
        <v>25200</v>
      </c>
      <c r="G490" s="14">
        <v>12888</v>
      </c>
      <c r="H490" s="14">
        <v>586.28571428571558</v>
      </c>
      <c r="I490" s="15">
        <v>450</v>
      </c>
    </row>
    <row r="491" spans="1:9" x14ac:dyDescent="0.3">
      <c r="A491" s="13" t="s">
        <v>29</v>
      </c>
      <c r="B491" s="13" t="s">
        <v>28</v>
      </c>
      <c r="C491" s="13" t="s">
        <v>25</v>
      </c>
      <c r="D491" s="13" t="s">
        <v>23</v>
      </c>
      <c r="E491">
        <v>40</v>
      </c>
      <c r="F491" s="15">
        <v>36000</v>
      </c>
      <c r="G491" s="14">
        <v>20440</v>
      </c>
      <c r="H491" s="14">
        <v>2373.5593220338978</v>
      </c>
      <c r="I491" s="15">
        <v>900</v>
      </c>
    </row>
    <row r="492" spans="1:9" x14ac:dyDescent="0.3">
      <c r="A492" s="13" t="s">
        <v>29</v>
      </c>
      <c r="B492" s="13" t="s">
        <v>28</v>
      </c>
      <c r="C492" s="13" t="s">
        <v>13</v>
      </c>
      <c r="D492" s="13" t="s">
        <v>14</v>
      </c>
      <c r="E492">
        <v>296</v>
      </c>
      <c r="F492" s="15">
        <v>111000</v>
      </c>
      <c r="G492" s="14">
        <v>81324</v>
      </c>
      <c r="H492" s="14">
        <v>1413.1428571428587</v>
      </c>
      <c r="I492" s="15">
        <v>375</v>
      </c>
    </row>
    <row r="493" spans="1:9" x14ac:dyDescent="0.3">
      <c r="A493" s="13" t="s">
        <v>29</v>
      </c>
      <c r="B493" s="13" t="s">
        <v>28</v>
      </c>
      <c r="C493" s="13" t="s">
        <v>12</v>
      </c>
      <c r="D493" s="13" t="s">
        <v>11</v>
      </c>
      <c r="E493">
        <v>124</v>
      </c>
      <c r="F493" s="15">
        <v>74400</v>
      </c>
      <c r="G493" s="14">
        <v>32820</v>
      </c>
      <c r="H493" s="14">
        <v>1980</v>
      </c>
      <c r="I493" s="15">
        <v>600</v>
      </c>
    </row>
    <row r="494" spans="1:9" x14ac:dyDescent="0.3">
      <c r="A494" s="13" t="s">
        <v>29</v>
      </c>
      <c r="B494" s="13" t="s">
        <v>28</v>
      </c>
      <c r="C494" s="13" t="s">
        <v>18</v>
      </c>
      <c r="D494" s="13" t="s">
        <v>17</v>
      </c>
      <c r="E494">
        <v>32</v>
      </c>
      <c r="F494" s="15">
        <v>18400</v>
      </c>
      <c r="G494" s="14">
        <v>6776</v>
      </c>
      <c r="H494" s="14">
        <v>1245.4285714285725</v>
      </c>
      <c r="I494" s="15">
        <v>575</v>
      </c>
    </row>
    <row r="495" spans="1:9" x14ac:dyDescent="0.3">
      <c r="A495" s="13" t="s">
        <v>29</v>
      </c>
      <c r="B495" s="13" t="s">
        <v>28</v>
      </c>
      <c r="C495" s="13" t="s">
        <v>19</v>
      </c>
      <c r="D495" s="13" t="s">
        <v>17</v>
      </c>
      <c r="E495">
        <v>4</v>
      </c>
      <c r="F495" s="15">
        <v>4600</v>
      </c>
      <c r="G495" s="14">
        <v>1444</v>
      </c>
      <c r="H495" s="14">
        <v>338.14285714285734</v>
      </c>
      <c r="I495" s="15">
        <v>1150</v>
      </c>
    </row>
    <row r="496" spans="1:9" x14ac:dyDescent="0.3">
      <c r="A496" s="13" t="s">
        <v>29</v>
      </c>
      <c r="B496" s="13" t="s">
        <v>28</v>
      </c>
      <c r="C496" s="13" t="s">
        <v>21</v>
      </c>
      <c r="D496" s="13" t="s">
        <v>11</v>
      </c>
      <c r="E496">
        <v>32</v>
      </c>
      <c r="F496" s="15">
        <v>38400</v>
      </c>
      <c r="G496" s="14">
        <v>15584</v>
      </c>
      <c r="H496" s="14">
        <v>1086.4761904761908</v>
      </c>
      <c r="I496" s="15">
        <v>1200</v>
      </c>
    </row>
    <row r="497" spans="1:9" x14ac:dyDescent="0.3">
      <c r="A497" s="13" t="s">
        <v>29</v>
      </c>
      <c r="B497" s="13" t="s">
        <v>28</v>
      </c>
      <c r="C497" s="13" t="s">
        <v>22</v>
      </c>
      <c r="D497" s="13" t="s">
        <v>23</v>
      </c>
      <c r="E497">
        <v>12</v>
      </c>
      <c r="F497" s="15">
        <v>2388</v>
      </c>
      <c r="G497" s="14">
        <v>1180</v>
      </c>
      <c r="H497" s="14">
        <v>57.523809523809632</v>
      </c>
      <c r="I497" s="15">
        <v>199</v>
      </c>
    </row>
    <row r="498" spans="1:9" x14ac:dyDescent="0.3">
      <c r="A498" s="13" t="s">
        <v>29</v>
      </c>
      <c r="B498" s="13" t="s">
        <v>28</v>
      </c>
      <c r="C498" s="13" t="s">
        <v>24</v>
      </c>
      <c r="D498" s="13" t="s">
        <v>23</v>
      </c>
      <c r="E498">
        <v>32</v>
      </c>
      <c r="F498" s="15">
        <v>14400</v>
      </c>
      <c r="G498" s="14">
        <v>7480</v>
      </c>
      <c r="H498" s="14">
        <v>329.52380952381009</v>
      </c>
      <c r="I498" s="15">
        <v>450</v>
      </c>
    </row>
    <row r="499" spans="1:9" x14ac:dyDescent="0.3">
      <c r="A499" s="13" t="s">
        <v>29</v>
      </c>
      <c r="B499" s="13" t="s">
        <v>28</v>
      </c>
      <c r="C499" s="13" t="s">
        <v>25</v>
      </c>
      <c r="D499" s="13" t="s">
        <v>23</v>
      </c>
      <c r="E499">
        <v>24</v>
      </c>
      <c r="F499" s="15">
        <v>21600</v>
      </c>
      <c r="G499" s="14">
        <v>12196</v>
      </c>
      <c r="H499" s="14">
        <v>1434.5084745762706</v>
      </c>
      <c r="I499" s="15">
        <v>900</v>
      </c>
    </row>
    <row r="500" spans="1:9" x14ac:dyDescent="0.3">
      <c r="A500" s="13" t="s">
        <v>29</v>
      </c>
      <c r="B500" s="13" t="s">
        <v>28</v>
      </c>
      <c r="C500" s="13" t="s">
        <v>13</v>
      </c>
      <c r="D500" s="13" t="s">
        <v>14</v>
      </c>
      <c r="E500">
        <v>208</v>
      </c>
      <c r="F500" s="15">
        <v>78000</v>
      </c>
      <c r="G500" s="14">
        <v>56908</v>
      </c>
      <c r="H500" s="14">
        <v>1004.3809523809541</v>
      </c>
      <c r="I500" s="15">
        <v>375</v>
      </c>
    </row>
    <row r="501" spans="1:9" x14ac:dyDescent="0.3">
      <c r="A501" s="13" t="s">
        <v>29</v>
      </c>
      <c r="B501" s="13" t="s">
        <v>28</v>
      </c>
      <c r="C501" s="13" t="s">
        <v>12</v>
      </c>
      <c r="D501" s="13" t="s">
        <v>11</v>
      </c>
      <c r="E501">
        <v>32</v>
      </c>
      <c r="F501" s="15">
        <v>19200</v>
      </c>
      <c r="G501" s="14">
        <v>7392</v>
      </c>
      <c r="H501" s="14">
        <v>562.28571428571558</v>
      </c>
      <c r="I501" s="15">
        <v>600</v>
      </c>
    </row>
    <row r="502" spans="1:9" x14ac:dyDescent="0.3">
      <c r="A502" s="13" t="s">
        <v>29</v>
      </c>
      <c r="B502" s="13" t="s">
        <v>28</v>
      </c>
      <c r="C502" s="13" t="s">
        <v>10</v>
      </c>
      <c r="D502" s="13" t="s">
        <v>11</v>
      </c>
      <c r="E502">
        <v>4</v>
      </c>
      <c r="F502" s="15">
        <v>1340</v>
      </c>
      <c r="G502" s="14">
        <v>124</v>
      </c>
      <c r="H502" s="14">
        <v>57.904761904761926</v>
      </c>
      <c r="I502" s="15">
        <v>335</v>
      </c>
    </row>
    <row r="503" spans="1:9" x14ac:dyDescent="0.3">
      <c r="A503" s="13" t="s">
        <v>29</v>
      </c>
      <c r="B503" s="13" t="s">
        <v>28</v>
      </c>
      <c r="C503" s="13" t="s">
        <v>18</v>
      </c>
      <c r="D503" s="13" t="s">
        <v>17</v>
      </c>
      <c r="E503">
        <v>20</v>
      </c>
      <c r="F503" s="15">
        <v>11500</v>
      </c>
      <c r="G503" s="14">
        <v>3964</v>
      </c>
      <c r="H503" s="14">
        <v>807.42857142857247</v>
      </c>
      <c r="I503" s="15">
        <v>575</v>
      </c>
    </row>
    <row r="504" spans="1:9" x14ac:dyDescent="0.3">
      <c r="A504" s="13" t="s">
        <v>29</v>
      </c>
      <c r="B504" s="13" t="s">
        <v>28</v>
      </c>
      <c r="C504" s="13" t="s">
        <v>20</v>
      </c>
      <c r="D504" s="13" t="s">
        <v>14</v>
      </c>
      <c r="E504">
        <v>4</v>
      </c>
      <c r="F504" s="15">
        <v>3000</v>
      </c>
      <c r="G504" s="14">
        <v>1536</v>
      </c>
      <c r="H504" s="14">
        <v>69.714285714285779</v>
      </c>
      <c r="I504" s="15">
        <v>750</v>
      </c>
    </row>
    <row r="505" spans="1:9" x14ac:dyDescent="0.3">
      <c r="A505" s="13" t="s">
        <v>29</v>
      </c>
      <c r="B505" s="13" t="s">
        <v>28</v>
      </c>
      <c r="C505" s="13" t="s">
        <v>22</v>
      </c>
      <c r="D505" s="13" t="s">
        <v>23</v>
      </c>
      <c r="E505">
        <v>24</v>
      </c>
      <c r="F505" s="15">
        <v>4776</v>
      </c>
      <c r="G505" s="14">
        <v>2380</v>
      </c>
      <c r="H505" s="14">
        <v>114.09523809523807</v>
      </c>
      <c r="I505" s="15">
        <v>199</v>
      </c>
    </row>
    <row r="506" spans="1:9" x14ac:dyDescent="0.3">
      <c r="A506" s="13" t="s">
        <v>29</v>
      </c>
      <c r="B506" s="13" t="s">
        <v>28</v>
      </c>
      <c r="C506" s="13" t="s">
        <v>24</v>
      </c>
      <c r="D506" s="13" t="s">
        <v>23</v>
      </c>
      <c r="E506">
        <v>48</v>
      </c>
      <c r="F506" s="15">
        <v>21600</v>
      </c>
      <c r="G506" s="14">
        <v>10888</v>
      </c>
      <c r="H506" s="14">
        <v>510.09523809523853</v>
      </c>
      <c r="I506" s="15">
        <v>450</v>
      </c>
    </row>
    <row r="507" spans="1:9" x14ac:dyDescent="0.3">
      <c r="A507" s="13" t="s">
        <v>29</v>
      </c>
      <c r="B507" s="13" t="s">
        <v>28</v>
      </c>
      <c r="C507" s="13" t="s">
        <v>25</v>
      </c>
      <c r="D507" s="13" t="s">
        <v>23</v>
      </c>
      <c r="E507">
        <v>20</v>
      </c>
      <c r="F507" s="15">
        <v>18000</v>
      </c>
      <c r="G507" s="14">
        <v>10120</v>
      </c>
      <c r="H507" s="14">
        <v>1202.0338983050842</v>
      </c>
      <c r="I507" s="15">
        <v>900</v>
      </c>
    </row>
    <row r="508" spans="1:9" x14ac:dyDescent="0.3">
      <c r="A508" s="13" t="s">
        <v>29</v>
      </c>
      <c r="B508" s="13" t="s">
        <v>28</v>
      </c>
      <c r="C508" s="13" t="s">
        <v>13</v>
      </c>
      <c r="D508" s="13" t="s">
        <v>14</v>
      </c>
      <c r="E508">
        <v>276</v>
      </c>
      <c r="F508" s="15">
        <v>103500</v>
      </c>
      <c r="G508" s="14">
        <v>75324</v>
      </c>
      <c r="H508" s="14">
        <v>1341.7142857142862</v>
      </c>
      <c r="I508" s="15">
        <v>375</v>
      </c>
    </row>
    <row r="509" spans="1:9" x14ac:dyDescent="0.3">
      <c r="A509" s="13" t="s">
        <v>29</v>
      </c>
      <c r="B509" s="13" t="s">
        <v>28</v>
      </c>
      <c r="C509" s="13" t="s">
        <v>15</v>
      </c>
      <c r="D509" s="13" t="s">
        <v>14</v>
      </c>
      <c r="E509">
        <v>12</v>
      </c>
      <c r="F509" s="15">
        <v>1980</v>
      </c>
      <c r="G509" s="14">
        <v>948</v>
      </c>
      <c r="H509" s="14">
        <v>49.142857142857224</v>
      </c>
      <c r="I509" s="15">
        <v>165</v>
      </c>
    </row>
    <row r="510" spans="1:9" x14ac:dyDescent="0.3">
      <c r="A510" s="13" t="s">
        <v>29</v>
      </c>
      <c r="B510" s="13" t="s">
        <v>28</v>
      </c>
      <c r="C510" s="13" t="s">
        <v>12</v>
      </c>
      <c r="D510" s="13" t="s">
        <v>11</v>
      </c>
      <c r="E510">
        <v>24</v>
      </c>
      <c r="F510" s="15">
        <v>14400</v>
      </c>
      <c r="G510" s="14">
        <v>5084</v>
      </c>
      <c r="H510" s="14">
        <v>443.61904761904771</v>
      </c>
      <c r="I510" s="15">
        <v>600</v>
      </c>
    </row>
    <row r="511" spans="1:9" x14ac:dyDescent="0.3">
      <c r="A511" s="13" t="s">
        <v>29</v>
      </c>
      <c r="B511" s="13" t="s">
        <v>28</v>
      </c>
      <c r="C511" s="13" t="s">
        <v>18</v>
      </c>
      <c r="D511" s="13" t="s">
        <v>17</v>
      </c>
      <c r="E511">
        <v>16</v>
      </c>
      <c r="F511" s="15">
        <v>9200</v>
      </c>
      <c r="G511" s="14">
        <v>2956</v>
      </c>
      <c r="H511" s="14">
        <v>669.00000000000091</v>
      </c>
      <c r="I511" s="15">
        <v>575</v>
      </c>
    </row>
    <row r="512" spans="1:9" x14ac:dyDescent="0.3">
      <c r="A512" s="13" t="s">
        <v>29</v>
      </c>
      <c r="B512" s="13" t="s">
        <v>28</v>
      </c>
      <c r="C512" s="13" t="s">
        <v>22</v>
      </c>
      <c r="D512" s="13" t="s">
        <v>23</v>
      </c>
      <c r="E512">
        <v>12</v>
      </c>
      <c r="F512" s="15">
        <v>2388</v>
      </c>
      <c r="G512" s="14">
        <v>1200</v>
      </c>
      <c r="H512" s="14">
        <v>56.571428571428669</v>
      </c>
      <c r="I512" s="15">
        <v>199</v>
      </c>
    </row>
    <row r="513" spans="1:9" x14ac:dyDescent="0.3">
      <c r="A513" s="13" t="s">
        <v>29</v>
      </c>
      <c r="B513" s="13" t="s">
        <v>28</v>
      </c>
      <c r="C513" s="13" t="s">
        <v>24</v>
      </c>
      <c r="D513" s="13" t="s">
        <v>23</v>
      </c>
      <c r="E513">
        <v>24</v>
      </c>
      <c r="F513" s="15">
        <v>10800</v>
      </c>
      <c r="G513" s="14">
        <v>5456</v>
      </c>
      <c r="H513" s="14">
        <v>254.47619047619082</v>
      </c>
      <c r="I513" s="15">
        <v>450</v>
      </c>
    </row>
    <row r="514" spans="1:9" x14ac:dyDescent="0.3">
      <c r="A514" s="13" t="s">
        <v>29</v>
      </c>
      <c r="B514" s="13" t="s">
        <v>28</v>
      </c>
      <c r="C514" s="13" t="s">
        <v>25</v>
      </c>
      <c r="D514" s="13" t="s">
        <v>23</v>
      </c>
      <c r="E514">
        <v>8</v>
      </c>
      <c r="F514" s="15">
        <v>7200</v>
      </c>
      <c r="G514" s="14">
        <v>4008</v>
      </c>
      <c r="H514" s="14">
        <v>486.91525423728808</v>
      </c>
      <c r="I514" s="15">
        <v>900</v>
      </c>
    </row>
    <row r="515" spans="1:9" x14ac:dyDescent="0.3">
      <c r="A515" s="13" t="s">
        <v>29</v>
      </c>
      <c r="B515" s="13" t="s">
        <v>28</v>
      </c>
      <c r="C515" s="13" t="s">
        <v>13</v>
      </c>
      <c r="D515" s="13" t="s">
        <v>14</v>
      </c>
      <c r="E515">
        <v>516</v>
      </c>
      <c r="F515" s="15">
        <v>193500</v>
      </c>
      <c r="G515" s="14">
        <v>140488</v>
      </c>
      <c r="H515" s="14">
        <v>2524.3809523809541</v>
      </c>
      <c r="I515" s="15">
        <v>375</v>
      </c>
    </row>
    <row r="516" spans="1:9" x14ac:dyDescent="0.3">
      <c r="A516" s="13" t="s">
        <v>29</v>
      </c>
      <c r="B516" s="13" t="s">
        <v>28</v>
      </c>
      <c r="C516" s="13" t="s">
        <v>12</v>
      </c>
      <c r="D516" s="13" t="s">
        <v>11</v>
      </c>
      <c r="E516">
        <v>16</v>
      </c>
      <c r="F516" s="15">
        <v>9600</v>
      </c>
      <c r="G516" s="14">
        <v>3036</v>
      </c>
      <c r="H516" s="14">
        <v>312.57142857142844</v>
      </c>
      <c r="I516" s="15">
        <v>600</v>
      </c>
    </row>
    <row r="517" spans="1:9" x14ac:dyDescent="0.3">
      <c r="A517" s="13" t="s">
        <v>29</v>
      </c>
      <c r="B517" s="13" t="s">
        <v>28</v>
      </c>
      <c r="C517" s="13" t="s">
        <v>20</v>
      </c>
      <c r="D517" s="13" t="s">
        <v>14</v>
      </c>
      <c r="E517">
        <v>4</v>
      </c>
      <c r="F517" s="15">
        <v>3000</v>
      </c>
      <c r="G517" s="14">
        <v>1204</v>
      </c>
      <c r="H517" s="14">
        <v>85.523809523809632</v>
      </c>
      <c r="I517" s="15">
        <v>750</v>
      </c>
    </row>
    <row r="518" spans="1:9" x14ac:dyDescent="0.3">
      <c r="A518" s="13" t="s">
        <v>29</v>
      </c>
      <c r="B518" s="13" t="s">
        <v>28</v>
      </c>
      <c r="C518" s="13" t="s">
        <v>22</v>
      </c>
      <c r="D518" s="13" t="s">
        <v>23</v>
      </c>
      <c r="E518">
        <v>24</v>
      </c>
      <c r="F518" s="15">
        <v>4776</v>
      </c>
      <c r="G518" s="14">
        <v>2360</v>
      </c>
      <c r="H518" s="14">
        <v>115.04761904761926</v>
      </c>
      <c r="I518" s="15">
        <v>199</v>
      </c>
    </row>
    <row r="519" spans="1:9" x14ac:dyDescent="0.3">
      <c r="A519" s="13" t="s">
        <v>29</v>
      </c>
      <c r="B519" s="13" t="s">
        <v>28</v>
      </c>
      <c r="C519" s="13" t="s">
        <v>24</v>
      </c>
      <c r="D519" s="13" t="s">
        <v>23</v>
      </c>
      <c r="E519">
        <v>32</v>
      </c>
      <c r="F519" s="15">
        <v>14400</v>
      </c>
      <c r="G519" s="14">
        <v>7420</v>
      </c>
      <c r="H519" s="14">
        <v>332.38095238095229</v>
      </c>
      <c r="I519" s="15">
        <v>450</v>
      </c>
    </row>
    <row r="520" spans="1:9" x14ac:dyDescent="0.3">
      <c r="A520" s="13" t="s">
        <v>29</v>
      </c>
      <c r="B520" s="13" t="s">
        <v>28</v>
      </c>
      <c r="C520" s="13" t="s">
        <v>25</v>
      </c>
      <c r="D520" s="13" t="s">
        <v>23</v>
      </c>
      <c r="E520">
        <v>28</v>
      </c>
      <c r="F520" s="15">
        <v>25200</v>
      </c>
      <c r="G520" s="14">
        <v>14768</v>
      </c>
      <c r="H520" s="14">
        <v>1591.3220338983047</v>
      </c>
      <c r="I520" s="15">
        <v>900</v>
      </c>
    </row>
    <row r="521" spans="1:9" x14ac:dyDescent="0.3">
      <c r="A521" s="13" t="s">
        <v>29</v>
      </c>
      <c r="B521" s="13" t="s">
        <v>28</v>
      </c>
      <c r="C521" s="13" t="s">
        <v>13</v>
      </c>
      <c r="D521" s="13" t="s">
        <v>14</v>
      </c>
      <c r="E521">
        <v>196</v>
      </c>
      <c r="F521" s="15">
        <v>73500</v>
      </c>
      <c r="G521" s="14">
        <v>51092</v>
      </c>
      <c r="H521" s="14">
        <v>1067.0476190476184</v>
      </c>
      <c r="I521" s="15">
        <v>375</v>
      </c>
    </row>
    <row r="522" spans="1:9" x14ac:dyDescent="0.3">
      <c r="A522" s="13" t="s">
        <v>29</v>
      </c>
      <c r="B522" s="13" t="s">
        <v>28</v>
      </c>
      <c r="C522" s="13" t="s">
        <v>18</v>
      </c>
      <c r="D522" s="13" t="s">
        <v>17</v>
      </c>
      <c r="E522">
        <v>8</v>
      </c>
      <c r="F522" s="15">
        <v>4600</v>
      </c>
      <c r="G522" s="14">
        <v>1268</v>
      </c>
      <c r="H522" s="14">
        <v>357.00000000000045</v>
      </c>
      <c r="I522" s="15">
        <v>575</v>
      </c>
    </row>
    <row r="523" spans="1:9" x14ac:dyDescent="0.3">
      <c r="A523" s="13" t="s">
        <v>29</v>
      </c>
      <c r="B523" s="13" t="s">
        <v>28</v>
      </c>
      <c r="C523" s="13" t="s">
        <v>22</v>
      </c>
      <c r="D523" s="13" t="s">
        <v>23</v>
      </c>
      <c r="E523">
        <v>12</v>
      </c>
      <c r="F523" s="15">
        <v>2388</v>
      </c>
      <c r="G523" s="14">
        <v>1180</v>
      </c>
      <c r="H523" s="14">
        <v>57.523809523809632</v>
      </c>
      <c r="I523" s="15">
        <v>199</v>
      </c>
    </row>
    <row r="524" spans="1:9" x14ac:dyDescent="0.3">
      <c r="A524" s="13" t="s">
        <v>29</v>
      </c>
      <c r="B524" s="13" t="s">
        <v>28</v>
      </c>
      <c r="C524" s="13" t="s">
        <v>24</v>
      </c>
      <c r="D524" s="13" t="s">
        <v>23</v>
      </c>
      <c r="E524">
        <v>36</v>
      </c>
      <c r="F524" s="15">
        <v>16200</v>
      </c>
      <c r="G524" s="14">
        <v>8576</v>
      </c>
      <c r="H524" s="14">
        <v>363.04761904761926</v>
      </c>
      <c r="I524" s="15">
        <v>450</v>
      </c>
    </row>
    <row r="525" spans="1:9" x14ac:dyDescent="0.3">
      <c r="A525" s="13" t="s">
        <v>29</v>
      </c>
      <c r="B525" s="13" t="s">
        <v>28</v>
      </c>
      <c r="C525" s="13" t="s">
        <v>25</v>
      </c>
      <c r="D525" s="13" t="s">
        <v>23</v>
      </c>
      <c r="E525">
        <v>36</v>
      </c>
      <c r="F525" s="15">
        <v>32400</v>
      </c>
      <c r="G525" s="14">
        <v>19196</v>
      </c>
      <c r="H525" s="14">
        <v>2014.1694915254229</v>
      </c>
      <c r="I525" s="15">
        <v>900</v>
      </c>
    </row>
    <row r="526" spans="1:9" x14ac:dyDescent="0.3">
      <c r="A526" s="13" t="s">
        <v>29</v>
      </c>
      <c r="B526" s="13" t="s">
        <v>28</v>
      </c>
      <c r="C526" s="13" t="s">
        <v>13</v>
      </c>
      <c r="D526" s="13" t="s">
        <v>14</v>
      </c>
      <c r="E526">
        <v>44</v>
      </c>
      <c r="F526" s="15">
        <v>16500</v>
      </c>
      <c r="G526" s="14">
        <v>10020</v>
      </c>
      <c r="H526" s="14">
        <v>308.57142857142844</v>
      </c>
      <c r="I526" s="15">
        <v>375</v>
      </c>
    </row>
    <row r="527" spans="1:9" x14ac:dyDescent="0.3">
      <c r="A527" s="13" t="s">
        <v>29</v>
      </c>
      <c r="B527" s="13" t="s">
        <v>28</v>
      </c>
      <c r="C527" s="13" t="s">
        <v>12</v>
      </c>
      <c r="D527" s="13" t="s">
        <v>11</v>
      </c>
      <c r="E527">
        <v>8</v>
      </c>
      <c r="F527" s="15">
        <v>4800</v>
      </c>
      <c r="G527" s="14">
        <v>1212</v>
      </c>
      <c r="H527" s="14">
        <v>170.85714285714312</v>
      </c>
      <c r="I527" s="15">
        <v>600</v>
      </c>
    </row>
    <row r="528" spans="1:9" x14ac:dyDescent="0.3">
      <c r="A528" s="13" t="s">
        <v>29</v>
      </c>
      <c r="B528" s="13" t="s">
        <v>28</v>
      </c>
      <c r="C528" s="13" t="s">
        <v>18</v>
      </c>
      <c r="D528" s="13" t="s">
        <v>17</v>
      </c>
      <c r="E528">
        <v>8</v>
      </c>
      <c r="F528" s="15">
        <v>4600</v>
      </c>
      <c r="G528" s="14">
        <v>1088</v>
      </c>
      <c r="H528" s="14">
        <v>376.28571428571468</v>
      </c>
      <c r="I528" s="15">
        <v>575</v>
      </c>
    </row>
    <row r="529" spans="1:9" x14ac:dyDescent="0.3">
      <c r="A529" s="13" t="s">
        <v>29</v>
      </c>
      <c r="B529" s="13" t="s">
        <v>28</v>
      </c>
      <c r="C529" s="13" t="s">
        <v>24</v>
      </c>
      <c r="D529" s="13" t="s">
        <v>23</v>
      </c>
      <c r="E529">
        <v>36</v>
      </c>
      <c r="F529" s="15">
        <v>16200</v>
      </c>
      <c r="G529" s="14">
        <v>8256</v>
      </c>
      <c r="H529" s="14">
        <v>378.28571428571468</v>
      </c>
      <c r="I529" s="15">
        <v>450</v>
      </c>
    </row>
    <row r="530" spans="1:9" x14ac:dyDescent="0.3">
      <c r="A530" s="13" t="s">
        <v>29</v>
      </c>
      <c r="B530" s="13" t="s">
        <v>28</v>
      </c>
      <c r="C530" s="13" t="s">
        <v>25</v>
      </c>
      <c r="D530" s="13" t="s">
        <v>23</v>
      </c>
      <c r="E530">
        <v>24</v>
      </c>
      <c r="F530" s="15">
        <v>21600</v>
      </c>
      <c r="G530" s="14">
        <v>12044</v>
      </c>
      <c r="H530" s="14">
        <v>1457.6949152542365</v>
      </c>
      <c r="I530" s="15">
        <v>900</v>
      </c>
    </row>
    <row r="531" spans="1:9" x14ac:dyDescent="0.3">
      <c r="A531" s="13" t="s">
        <v>29</v>
      </c>
      <c r="B531" s="13" t="s">
        <v>28</v>
      </c>
      <c r="C531" s="13" t="s">
        <v>13</v>
      </c>
      <c r="D531" s="13" t="s">
        <v>14</v>
      </c>
      <c r="E531">
        <v>16</v>
      </c>
      <c r="F531" s="15">
        <v>6000</v>
      </c>
      <c r="G531" s="14">
        <v>2472</v>
      </c>
      <c r="H531" s="14">
        <v>168</v>
      </c>
      <c r="I531" s="15">
        <v>375</v>
      </c>
    </row>
    <row r="532" spans="1:9" x14ac:dyDescent="0.3">
      <c r="A532" s="13" t="s">
        <v>29</v>
      </c>
      <c r="B532" s="13" t="s">
        <v>28</v>
      </c>
      <c r="C532" s="13" t="s">
        <v>12</v>
      </c>
      <c r="D532" s="13" t="s">
        <v>11</v>
      </c>
      <c r="E532">
        <v>12</v>
      </c>
      <c r="F532" s="15">
        <v>7200</v>
      </c>
      <c r="G532" s="14">
        <v>1824</v>
      </c>
      <c r="H532" s="14">
        <v>256</v>
      </c>
      <c r="I532" s="15">
        <v>600</v>
      </c>
    </row>
    <row r="533" spans="1:9" x14ac:dyDescent="0.3">
      <c r="A533" s="13" t="s">
        <v>29</v>
      </c>
      <c r="B533" s="13" t="s">
        <v>28</v>
      </c>
      <c r="C533" s="13" t="s">
        <v>18</v>
      </c>
      <c r="D533" s="13" t="s">
        <v>17</v>
      </c>
      <c r="E533">
        <v>4</v>
      </c>
      <c r="F533" s="15">
        <v>2300</v>
      </c>
      <c r="G533" s="14">
        <v>484</v>
      </c>
      <c r="H533" s="14">
        <v>194.57142857142867</v>
      </c>
      <c r="I533" s="15">
        <v>575</v>
      </c>
    </row>
    <row r="534" spans="1:9" x14ac:dyDescent="0.3">
      <c r="A534" s="13" t="s">
        <v>29</v>
      </c>
      <c r="B534" s="13" t="s">
        <v>28</v>
      </c>
      <c r="C534" s="13" t="s">
        <v>24</v>
      </c>
      <c r="D534" s="13" t="s">
        <v>23</v>
      </c>
      <c r="E534">
        <v>32</v>
      </c>
      <c r="F534" s="15">
        <v>14400</v>
      </c>
      <c r="G534" s="14">
        <v>7324</v>
      </c>
      <c r="H534" s="14">
        <v>336.95238095238165</v>
      </c>
      <c r="I534" s="15">
        <v>450</v>
      </c>
    </row>
    <row r="535" spans="1:9" x14ac:dyDescent="0.3">
      <c r="A535" s="13" t="s">
        <v>29</v>
      </c>
      <c r="B535" s="13" t="s">
        <v>28</v>
      </c>
      <c r="C535" s="13" t="s">
        <v>25</v>
      </c>
      <c r="D535" s="13" t="s">
        <v>23</v>
      </c>
      <c r="E535">
        <v>12</v>
      </c>
      <c r="F535" s="15">
        <v>10800</v>
      </c>
      <c r="G535" s="14">
        <v>6052</v>
      </c>
      <c r="H535" s="14">
        <v>724.27118644067787</v>
      </c>
      <c r="I535" s="15">
        <v>900</v>
      </c>
    </row>
    <row r="536" spans="1:9" x14ac:dyDescent="0.3">
      <c r="A536" s="13" t="s">
        <v>29</v>
      </c>
      <c r="B536" s="13" t="s">
        <v>28</v>
      </c>
      <c r="C536" s="13" t="s">
        <v>13</v>
      </c>
      <c r="D536" s="13" t="s">
        <v>14</v>
      </c>
      <c r="E536">
        <v>8</v>
      </c>
      <c r="F536" s="15">
        <v>3000</v>
      </c>
      <c r="G536" s="14">
        <v>1156</v>
      </c>
      <c r="H536" s="14">
        <v>87.809523809523853</v>
      </c>
      <c r="I536" s="15">
        <v>375</v>
      </c>
    </row>
    <row r="537" spans="1:9" x14ac:dyDescent="0.3">
      <c r="A537" s="13" t="s">
        <v>29</v>
      </c>
      <c r="B537" s="13" t="s">
        <v>28</v>
      </c>
      <c r="C537" s="13" t="s">
        <v>12</v>
      </c>
      <c r="D537" s="13" t="s">
        <v>11</v>
      </c>
      <c r="E537">
        <v>8</v>
      </c>
      <c r="F537" s="15">
        <v>4800</v>
      </c>
      <c r="G537" s="14">
        <v>1248</v>
      </c>
      <c r="H537" s="14">
        <v>169.14285714285734</v>
      </c>
      <c r="I537" s="15">
        <v>600</v>
      </c>
    </row>
    <row r="538" spans="1:9" x14ac:dyDescent="0.3">
      <c r="A538" s="13" t="s">
        <v>29</v>
      </c>
      <c r="B538" s="13" t="s">
        <v>28</v>
      </c>
      <c r="C538" s="13" t="s">
        <v>16</v>
      </c>
      <c r="D538" s="13" t="s">
        <v>17</v>
      </c>
      <c r="E538">
        <v>4</v>
      </c>
      <c r="F538" s="15">
        <v>1196</v>
      </c>
      <c r="G538" s="14">
        <v>112</v>
      </c>
      <c r="H538" s="14">
        <v>116.14285714285722</v>
      </c>
      <c r="I538" s="15">
        <v>299</v>
      </c>
    </row>
    <row r="539" spans="1:9" x14ac:dyDescent="0.3">
      <c r="A539" s="13" t="s">
        <v>29</v>
      </c>
      <c r="B539" s="13" t="s">
        <v>28</v>
      </c>
      <c r="C539" s="13" t="s">
        <v>18</v>
      </c>
      <c r="D539" s="13" t="s">
        <v>17</v>
      </c>
      <c r="E539">
        <v>4</v>
      </c>
      <c r="F539" s="15">
        <v>2300</v>
      </c>
      <c r="G539" s="14">
        <v>524</v>
      </c>
      <c r="H539" s="14">
        <v>190.28571428571445</v>
      </c>
      <c r="I539" s="15">
        <v>575</v>
      </c>
    </row>
    <row r="540" spans="1:9" x14ac:dyDescent="0.3">
      <c r="A540" s="13" t="s">
        <v>29</v>
      </c>
      <c r="B540" s="13" t="s">
        <v>28</v>
      </c>
      <c r="C540" s="13" t="s">
        <v>21</v>
      </c>
      <c r="D540" s="13" t="s">
        <v>11</v>
      </c>
      <c r="E540">
        <v>12</v>
      </c>
      <c r="F540" s="15">
        <v>14400</v>
      </c>
      <c r="G540" s="14">
        <v>3692</v>
      </c>
      <c r="H540" s="14">
        <v>509.90476190476147</v>
      </c>
      <c r="I540" s="15">
        <v>1200</v>
      </c>
    </row>
    <row r="541" spans="1:9" x14ac:dyDescent="0.3">
      <c r="A541" s="13" t="s">
        <v>29</v>
      </c>
      <c r="B541" s="13" t="s">
        <v>28</v>
      </c>
      <c r="C541" s="13" t="s">
        <v>22</v>
      </c>
      <c r="D541" s="13" t="s">
        <v>23</v>
      </c>
      <c r="E541">
        <v>36</v>
      </c>
      <c r="F541" s="15">
        <v>7164</v>
      </c>
      <c r="G541" s="14">
        <v>3592</v>
      </c>
      <c r="H541" s="14">
        <v>170.09523809523807</v>
      </c>
      <c r="I541" s="15">
        <v>199</v>
      </c>
    </row>
    <row r="542" spans="1:9" x14ac:dyDescent="0.3">
      <c r="A542" s="13" t="s">
        <v>29</v>
      </c>
      <c r="B542" s="13" t="s">
        <v>28</v>
      </c>
      <c r="C542" s="13" t="s">
        <v>24</v>
      </c>
      <c r="D542" s="13" t="s">
        <v>23</v>
      </c>
      <c r="E542">
        <v>28</v>
      </c>
      <c r="F542" s="15">
        <v>12600</v>
      </c>
      <c r="G542" s="14">
        <v>6416</v>
      </c>
      <c r="H542" s="14">
        <v>294.47619047619082</v>
      </c>
      <c r="I542" s="15">
        <v>450</v>
      </c>
    </row>
    <row r="543" spans="1:9" x14ac:dyDescent="0.3">
      <c r="A543" s="13" t="s">
        <v>29</v>
      </c>
      <c r="B543" s="13" t="s">
        <v>28</v>
      </c>
      <c r="C543" s="13" t="s">
        <v>25</v>
      </c>
      <c r="D543" s="13" t="s">
        <v>23</v>
      </c>
      <c r="E543">
        <v>16</v>
      </c>
      <c r="F543" s="15">
        <v>14400</v>
      </c>
      <c r="G543" s="14">
        <v>8096</v>
      </c>
      <c r="H543" s="14">
        <v>961.6271186440672</v>
      </c>
      <c r="I543" s="15">
        <v>900</v>
      </c>
    </row>
    <row r="544" spans="1:9" x14ac:dyDescent="0.3">
      <c r="A544" s="13" t="s">
        <v>29</v>
      </c>
      <c r="B544" s="13" t="s">
        <v>28</v>
      </c>
      <c r="C544" s="13" t="s">
        <v>12</v>
      </c>
      <c r="D544" s="13" t="s">
        <v>11</v>
      </c>
      <c r="E544">
        <v>4</v>
      </c>
      <c r="F544" s="15">
        <v>2400</v>
      </c>
      <c r="G544" s="14">
        <v>584</v>
      </c>
      <c r="H544" s="14">
        <v>86.476190476190595</v>
      </c>
      <c r="I544" s="15">
        <v>600</v>
      </c>
    </row>
    <row r="545" spans="1:9" x14ac:dyDescent="0.3">
      <c r="A545" s="13" t="s">
        <v>29</v>
      </c>
      <c r="B545" s="13" t="s">
        <v>28</v>
      </c>
      <c r="C545" s="13" t="s">
        <v>10</v>
      </c>
      <c r="D545" s="13" t="s">
        <v>11</v>
      </c>
      <c r="E545">
        <v>4</v>
      </c>
      <c r="F545" s="15">
        <v>1340</v>
      </c>
      <c r="G545" s="14">
        <v>124</v>
      </c>
      <c r="H545" s="14">
        <v>57.904761904761926</v>
      </c>
      <c r="I545" s="15">
        <v>335</v>
      </c>
    </row>
    <row r="546" spans="1:9" x14ac:dyDescent="0.3">
      <c r="A546" s="13" t="s">
        <v>29</v>
      </c>
      <c r="B546" s="13" t="s">
        <v>28</v>
      </c>
      <c r="C546" s="13" t="s">
        <v>22</v>
      </c>
      <c r="D546" s="13" t="s">
        <v>23</v>
      </c>
      <c r="E546">
        <v>36</v>
      </c>
      <c r="F546" s="15">
        <v>7164</v>
      </c>
      <c r="G546" s="14">
        <v>3580</v>
      </c>
      <c r="H546" s="14">
        <v>170.66666666666697</v>
      </c>
      <c r="I546" s="15">
        <v>199</v>
      </c>
    </row>
    <row r="547" spans="1:9" x14ac:dyDescent="0.3">
      <c r="A547" s="13" t="s">
        <v>29</v>
      </c>
      <c r="B547" s="13" t="s">
        <v>28</v>
      </c>
      <c r="C547" s="13" t="s">
        <v>24</v>
      </c>
      <c r="D547" s="13" t="s">
        <v>23</v>
      </c>
      <c r="E547">
        <v>48</v>
      </c>
      <c r="F547" s="15">
        <v>21600</v>
      </c>
      <c r="G547" s="14">
        <v>10960</v>
      </c>
      <c r="H547" s="14">
        <v>506.66666666666788</v>
      </c>
      <c r="I547" s="15">
        <v>450</v>
      </c>
    </row>
    <row r="548" spans="1:9" x14ac:dyDescent="0.3">
      <c r="A548" s="13" t="s">
        <v>29</v>
      </c>
      <c r="B548" s="13" t="s">
        <v>28</v>
      </c>
      <c r="C548" s="13" t="s">
        <v>25</v>
      </c>
      <c r="D548" s="13" t="s">
        <v>23</v>
      </c>
      <c r="E548">
        <v>16</v>
      </c>
      <c r="F548" s="15">
        <v>14400</v>
      </c>
      <c r="G548" s="14">
        <v>8036</v>
      </c>
      <c r="H548" s="14">
        <v>970.77966101694892</v>
      </c>
      <c r="I548" s="15">
        <v>900</v>
      </c>
    </row>
    <row r="549" spans="1:9" x14ac:dyDescent="0.3">
      <c r="A549" s="13" t="s">
        <v>29</v>
      </c>
      <c r="B549" s="13" t="s">
        <v>28</v>
      </c>
      <c r="C549" s="13" t="s">
        <v>13</v>
      </c>
      <c r="D549" s="13" t="s">
        <v>14</v>
      </c>
      <c r="E549">
        <v>8</v>
      </c>
      <c r="F549" s="15">
        <v>3000</v>
      </c>
      <c r="G549" s="14">
        <v>1312</v>
      </c>
      <c r="H549" s="14">
        <v>80.380952380952522</v>
      </c>
      <c r="I549" s="15">
        <v>375</v>
      </c>
    </row>
    <row r="550" spans="1:9" x14ac:dyDescent="0.3">
      <c r="A550" s="13" t="s">
        <v>29</v>
      </c>
      <c r="B550" s="13" t="s">
        <v>28</v>
      </c>
      <c r="C550" s="13" t="s">
        <v>12</v>
      </c>
      <c r="D550" s="13" t="s">
        <v>11</v>
      </c>
      <c r="E550">
        <v>16</v>
      </c>
      <c r="F550" s="15">
        <v>9600</v>
      </c>
      <c r="G550" s="14">
        <v>2556</v>
      </c>
      <c r="H550" s="14">
        <v>335.42857142857156</v>
      </c>
      <c r="I550" s="15">
        <v>600</v>
      </c>
    </row>
    <row r="551" spans="1:9" x14ac:dyDescent="0.3">
      <c r="A551" s="13" t="s">
        <v>29</v>
      </c>
      <c r="B551" s="13" t="s">
        <v>28</v>
      </c>
      <c r="C551" s="13" t="s">
        <v>10</v>
      </c>
      <c r="D551" s="13" t="s">
        <v>11</v>
      </c>
      <c r="E551">
        <v>4</v>
      </c>
      <c r="F551" s="15">
        <v>1340</v>
      </c>
      <c r="G551" s="14">
        <v>132</v>
      </c>
      <c r="H551" s="14">
        <v>57.523809523809632</v>
      </c>
      <c r="I551" s="15">
        <v>335</v>
      </c>
    </row>
    <row r="552" spans="1:9" x14ac:dyDescent="0.3">
      <c r="A552" s="13" t="s">
        <v>29</v>
      </c>
      <c r="B552" s="13" t="s">
        <v>28</v>
      </c>
      <c r="C552" s="13" t="s">
        <v>22</v>
      </c>
      <c r="D552" s="13" t="s">
        <v>23</v>
      </c>
      <c r="E552">
        <v>108</v>
      </c>
      <c r="F552" s="15">
        <v>21492</v>
      </c>
      <c r="G552" s="14">
        <v>10696</v>
      </c>
      <c r="H552" s="14">
        <v>514.09523809523853</v>
      </c>
      <c r="I552" s="15">
        <v>199</v>
      </c>
    </row>
    <row r="553" spans="1:9" x14ac:dyDescent="0.3">
      <c r="A553" s="13" t="s">
        <v>29</v>
      </c>
      <c r="B553" s="13" t="s">
        <v>28</v>
      </c>
      <c r="C553" s="13" t="s">
        <v>24</v>
      </c>
      <c r="D553" s="13" t="s">
        <v>23</v>
      </c>
      <c r="E553">
        <v>52</v>
      </c>
      <c r="F553" s="15">
        <v>23400</v>
      </c>
      <c r="G553" s="14">
        <v>11836</v>
      </c>
      <c r="H553" s="14">
        <v>550.66666666666788</v>
      </c>
      <c r="I553" s="15">
        <v>450</v>
      </c>
    </row>
    <row r="554" spans="1:9" x14ac:dyDescent="0.3">
      <c r="A554" s="13" t="s">
        <v>29</v>
      </c>
      <c r="B554" s="13" t="s">
        <v>28</v>
      </c>
      <c r="C554" s="13" t="s">
        <v>25</v>
      </c>
      <c r="D554" s="13" t="s">
        <v>23</v>
      </c>
      <c r="E554">
        <v>36</v>
      </c>
      <c r="F554" s="15">
        <v>32400</v>
      </c>
      <c r="G554" s="14">
        <v>18256</v>
      </c>
      <c r="H554" s="14">
        <v>2157.5593220338978</v>
      </c>
      <c r="I554" s="15">
        <v>900</v>
      </c>
    </row>
    <row r="555" spans="1:9" x14ac:dyDescent="0.3">
      <c r="A555" s="13" t="s">
        <v>29</v>
      </c>
      <c r="B555" s="13" t="s">
        <v>28</v>
      </c>
      <c r="C555" s="13" t="s">
        <v>13</v>
      </c>
      <c r="D555" s="13" t="s">
        <v>14</v>
      </c>
      <c r="E555">
        <v>8</v>
      </c>
      <c r="F555" s="15">
        <v>3000</v>
      </c>
      <c r="G555" s="14">
        <v>1292</v>
      </c>
      <c r="H555" s="14">
        <v>81.333333333333485</v>
      </c>
      <c r="I555" s="15">
        <v>375</v>
      </c>
    </row>
    <row r="556" spans="1:9" x14ac:dyDescent="0.3">
      <c r="A556" s="13" t="s">
        <v>29</v>
      </c>
      <c r="B556" s="13" t="s">
        <v>28</v>
      </c>
      <c r="C556" s="13" t="s">
        <v>12</v>
      </c>
      <c r="D556" s="13" t="s">
        <v>11</v>
      </c>
      <c r="E556">
        <v>4</v>
      </c>
      <c r="F556" s="15">
        <v>2400</v>
      </c>
      <c r="G556" s="14">
        <v>584</v>
      </c>
      <c r="H556" s="14">
        <v>86.476190476190595</v>
      </c>
      <c r="I556" s="15">
        <v>600</v>
      </c>
    </row>
    <row r="557" spans="1:9" x14ac:dyDescent="0.3">
      <c r="A557" s="13" t="s">
        <v>29</v>
      </c>
      <c r="B557" s="13" t="s">
        <v>28</v>
      </c>
      <c r="C557" s="13" t="s">
        <v>19</v>
      </c>
      <c r="D557" s="13" t="s">
        <v>17</v>
      </c>
      <c r="E557">
        <v>4</v>
      </c>
      <c r="F557" s="15">
        <v>4600</v>
      </c>
      <c r="G557" s="14">
        <v>1044</v>
      </c>
      <c r="H557" s="14">
        <v>381.00000000000045</v>
      </c>
      <c r="I557" s="15">
        <v>1150</v>
      </c>
    </row>
    <row r="558" spans="1:9" x14ac:dyDescent="0.3">
      <c r="A558" s="13" t="s">
        <v>29</v>
      </c>
      <c r="B558" s="13" t="s">
        <v>28</v>
      </c>
      <c r="C558" s="13" t="s">
        <v>22</v>
      </c>
      <c r="D558" s="13" t="s">
        <v>23</v>
      </c>
      <c r="E558">
        <v>24</v>
      </c>
      <c r="F558" s="15">
        <v>4776</v>
      </c>
      <c r="G558" s="14">
        <v>2400</v>
      </c>
      <c r="H558" s="14">
        <v>113.14285714285734</v>
      </c>
      <c r="I558" s="15">
        <v>199</v>
      </c>
    </row>
    <row r="559" spans="1:9" x14ac:dyDescent="0.3">
      <c r="A559" s="13" t="s">
        <v>29</v>
      </c>
      <c r="B559" s="13" t="s">
        <v>28</v>
      </c>
      <c r="C559" s="13" t="s">
        <v>24</v>
      </c>
      <c r="D559" s="13" t="s">
        <v>23</v>
      </c>
      <c r="E559">
        <v>48</v>
      </c>
      <c r="F559" s="15">
        <v>21600</v>
      </c>
      <c r="G559" s="14">
        <v>10968</v>
      </c>
      <c r="H559" s="14">
        <v>506.28571428571558</v>
      </c>
      <c r="I559" s="15">
        <v>450</v>
      </c>
    </row>
    <row r="560" spans="1:9" x14ac:dyDescent="0.3">
      <c r="A560" s="13" t="s">
        <v>29</v>
      </c>
      <c r="B560" s="13" t="s">
        <v>28</v>
      </c>
      <c r="C560" s="13" t="s">
        <v>25</v>
      </c>
      <c r="D560" s="13" t="s">
        <v>23</v>
      </c>
      <c r="E560">
        <v>24</v>
      </c>
      <c r="F560" s="15">
        <v>21600</v>
      </c>
      <c r="G560" s="14">
        <v>12124</v>
      </c>
      <c r="H560" s="14">
        <v>1445.4915254237285</v>
      </c>
      <c r="I560" s="15">
        <v>900</v>
      </c>
    </row>
    <row r="561" spans="1:9" x14ac:dyDescent="0.3">
      <c r="A561" s="13" t="s">
        <v>29</v>
      </c>
      <c r="B561" s="13" t="s">
        <v>28</v>
      </c>
      <c r="C561" s="13" t="s">
        <v>13</v>
      </c>
      <c r="D561" s="13" t="s">
        <v>14</v>
      </c>
      <c r="E561">
        <v>16</v>
      </c>
      <c r="F561" s="15">
        <v>6000</v>
      </c>
      <c r="G561" s="14">
        <v>2300</v>
      </c>
      <c r="H561" s="14">
        <v>176.19047619047615</v>
      </c>
      <c r="I561" s="15">
        <v>375</v>
      </c>
    </row>
    <row r="562" spans="1:9" x14ac:dyDescent="0.3">
      <c r="A562" s="13" t="s">
        <v>29</v>
      </c>
      <c r="B562" s="13" t="s">
        <v>28</v>
      </c>
      <c r="C562" s="13" t="s">
        <v>22</v>
      </c>
      <c r="D562" s="13" t="s">
        <v>23</v>
      </c>
      <c r="E562">
        <v>36</v>
      </c>
      <c r="F562" s="15">
        <v>7164</v>
      </c>
      <c r="G562" s="14">
        <v>3580</v>
      </c>
      <c r="H562" s="14">
        <v>170.66666666666697</v>
      </c>
      <c r="I562" s="15">
        <v>199</v>
      </c>
    </row>
    <row r="563" spans="1:9" x14ac:dyDescent="0.3">
      <c r="A563" s="13" t="s">
        <v>29</v>
      </c>
      <c r="B563" s="13" t="s">
        <v>28</v>
      </c>
      <c r="C563" s="13" t="s">
        <v>24</v>
      </c>
      <c r="D563" s="13" t="s">
        <v>23</v>
      </c>
      <c r="E563">
        <v>44</v>
      </c>
      <c r="F563" s="15">
        <v>19800</v>
      </c>
      <c r="G563" s="14">
        <v>10000</v>
      </c>
      <c r="H563" s="14">
        <v>466.66666666666788</v>
      </c>
      <c r="I563" s="15">
        <v>450</v>
      </c>
    </row>
    <row r="564" spans="1:9" x14ac:dyDescent="0.3">
      <c r="A564" s="13" t="s">
        <v>29</v>
      </c>
      <c r="B564" s="13" t="s">
        <v>28</v>
      </c>
      <c r="C564" s="13" t="s">
        <v>25</v>
      </c>
      <c r="D564" s="13" t="s">
        <v>23</v>
      </c>
      <c r="E564">
        <v>20</v>
      </c>
      <c r="F564" s="15">
        <v>18000</v>
      </c>
      <c r="G564" s="14">
        <v>10180</v>
      </c>
      <c r="H564" s="14">
        <v>1192.8813559322034</v>
      </c>
      <c r="I564" s="15">
        <v>900</v>
      </c>
    </row>
    <row r="565" spans="1:9" x14ac:dyDescent="0.3">
      <c r="A565" s="13" t="s">
        <v>29</v>
      </c>
      <c r="B565" s="13" t="s">
        <v>9</v>
      </c>
      <c r="C565" s="13" t="s">
        <v>13</v>
      </c>
      <c r="D565" s="13" t="s">
        <v>14</v>
      </c>
      <c r="E565">
        <v>8</v>
      </c>
      <c r="F565" s="15">
        <v>3000</v>
      </c>
      <c r="G565" s="14">
        <v>1220</v>
      </c>
      <c r="H565" s="14">
        <v>84.761904761904816</v>
      </c>
      <c r="I565" s="15">
        <v>375</v>
      </c>
    </row>
    <row r="566" spans="1:9" x14ac:dyDescent="0.3">
      <c r="A566" s="13" t="s">
        <v>29</v>
      </c>
      <c r="B566" s="13" t="s">
        <v>9</v>
      </c>
      <c r="C566" s="13" t="s">
        <v>12</v>
      </c>
      <c r="D566" s="13" t="s">
        <v>11</v>
      </c>
      <c r="E566">
        <v>8</v>
      </c>
      <c r="F566" s="15">
        <v>4800</v>
      </c>
      <c r="G566" s="14">
        <v>1268</v>
      </c>
      <c r="H566" s="14">
        <v>168.19047619047615</v>
      </c>
      <c r="I566" s="15">
        <v>600</v>
      </c>
    </row>
    <row r="567" spans="1:9" x14ac:dyDescent="0.3">
      <c r="A567" s="13" t="s">
        <v>29</v>
      </c>
      <c r="B567" s="13" t="s">
        <v>9</v>
      </c>
      <c r="C567" s="13" t="s">
        <v>18</v>
      </c>
      <c r="D567" s="13" t="s">
        <v>17</v>
      </c>
      <c r="E567">
        <v>12</v>
      </c>
      <c r="F567" s="15">
        <v>6900</v>
      </c>
      <c r="G567" s="14">
        <v>1552</v>
      </c>
      <c r="H567" s="14">
        <v>573</v>
      </c>
      <c r="I567" s="15">
        <v>575</v>
      </c>
    </row>
    <row r="568" spans="1:9" x14ac:dyDescent="0.3">
      <c r="A568" s="13" t="s">
        <v>29</v>
      </c>
      <c r="B568" s="13" t="s">
        <v>9</v>
      </c>
      <c r="C568" s="13" t="s">
        <v>21</v>
      </c>
      <c r="D568" s="13" t="s">
        <v>11</v>
      </c>
      <c r="E568">
        <v>8</v>
      </c>
      <c r="F568" s="15">
        <v>9600</v>
      </c>
      <c r="G568" s="14">
        <v>2540</v>
      </c>
      <c r="H568" s="14">
        <v>336.19047619047615</v>
      </c>
      <c r="I568" s="15">
        <v>1200</v>
      </c>
    </row>
    <row r="569" spans="1:9" x14ac:dyDescent="0.3">
      <c r="A569" s="13" t="s">
        <v>29</v>
      </c>
      <c r="B569" s="13" t="s">
        <v>9</v>
      </c>
      <c r="C569" s="13" t="s">
        <v>20</v>
      </c>
      <c r="D569" s="13" t="s">
        <v>14</v>
      </c>
      <c r="E569">
        <v>12</v>
      </c>
      <c r="F569" s="15">
        <v>9000</v>
      </c>
      <c r="G569" s="14">
        <v>4356</v>
      </c>
      <c r="H569" s="14">
        <v>221.14285714285688</v>
      </c>
      <c r="I569" s="15">
        <v>750</v>
      </c>
    </row>
    <row r="570" spans="1:9" x14ac:dyDescent="0.3">
      <c r="A570" s="13" t="s">
        <v>29</v>
      </c>
      <c r="B570" s="13" t="s">
        <v>9</v>
      </c>
      <c r="C570" s="13" t="s">
        <v>22</v>
      </c>
      <c r="D570" s="13" t="s">
        <v>23</v>
      </c>
      <c r="E570">
        <v>60</v>
      </c>
      <c r="F570" s="15">
        <v>11940</v>
      </c>
      <c r="G570" s="14">
        <v>6088</v>
      </c>
      <c r="H570" s="14">
        <v>278.66666666666697</v>
      </c>
      <c r="I570" s="15">
        <v>199</v>
      </c>
    </row>
    <row r="571" spans="1:9" x14ac:dyDescent="0.3">
      <c r="A571" s="13" t="s">
        <v>29</v>
      </c>
      <c r="B571" s="13" t="s">
        <v>9</v>
      </c>
      <c r="C571" s="13" t="s">
        <v>24</v>
      </c>
      <c r="D571" s="13" t="s">
        <v>23</v>
      </c>
      <c r="E571">
        <v>40</v>
      </c>
      <c r="F571" s="15">
        <v>18000</v>
      </c>
      <c r="G571" s="14">
        <v>9120</v>
      </c>
      <c r="H571" s="14">
        <v>422.85714285714312</v>
      </c>
      <c r="I571" s="15">
        <v>450</v>
      </c>
    </row>
    <row r="572" spans="1:9" x14ac:dyDescent="0.3">
      <c r="A572" s="13" t="s">
        <v>29</v>
      </c>
      <c r="B572" s="13" t="s">
        <v>9</v>
      </c>
      <c r="C572" s="13" t="s">
        <v>25</v>
      </c>
      <c r="D572" s="13" t="s">
        <v>23</v>
      </c>
      <c r="E572">
        <v>32</v>
      </c>
      <c r="F572" s="15">
        <v>28800</v>
      </c>
      <c r="G572" s="14">
        <v>16428</v>
      </c>
      <c r="H572" s="14">
        <v>1887.2542372881344</v>
      </c>
      <c r="I572" s="15">
        <v>900</v>
      </c>
    </row>
    <row r="573" spans="1:9" x14ac:dyDescent="0.3">
      <c r="A573" s="13" t="s">
        <v>29</v>
      </c>
      <c r="B573" s="13" t="s">
        <v>9</v>
      </c>
      <c r="C573" s="13" t="s">
        <v>13</v>
      </c>
      <c r="D573" s="13" t="s">
        <v>14</v>
      </c>
      <c r="E573">
        <v>12</v>
      </c>
      <c r="F573" s="15">
        <v>4500</v>
      </c>
      <c r="G573" s="14">
        <v>1952</v>
      </c>
      <c r="H573" s="14">
        <v>121.33333333333348</v>
      </c>
      <c r="I573" s="15">
        <v>375</v>
      </c>
    </row>
    <row r="574" spans="1:9" x14ac:dyDescent="0.3">
      <c r="A574" s="13" t="s">
        <v>29</v>
      </c>
      <c r="B574" s="13" t="s">
        <v>9</v>
      </c>
      <c r="C574" s="13" t="s">
        <v>12</v>
      </c>
      <c r="D574" s="13" t="s">
        <v>11</v>
      </c>
      <c r="E574">
        <v>8</v>
      </c>
      <c r="F574" s="15">
        <v>4800</v>
      </c>
      <c r="G574" s="14">
        <v>1332</v>
      </c>
      <c r="H574" s="14">
        <v>165.14285714285734</v>
      </c>
      <c r="I574" s="15">
        <v>600</v>
      </c>
    </row>
    <row r="575" spans="1:9" x14ac:dyDescent="0.3">
      <c r="A575" s="13" t="s">
        <v>29</v>
      </c>
      <c r="B575" s="13" t="s">
        <v>9</v>
      </c>
      <c r="C575" s="13" t="s">
        <v>18</v>
      </c>
      <c r="D575" s="13" t="s">
        <v>17</v>
      </c>
      <c r="E575">
        <v>8</v>
      </c>
      <c r="F575" s="15">
        <v>4600</v>
      </c>
      <c r="G575" s="14">
        <v>1120</v>
      </c>
      <c r="H575" s="14">
        <v>372.85714285714312</v>
      </c>
      <c r="I575" s="15">
        <v>575</v>
      </c>
    </row>
    <row r="576" spans="1:9" x14ac:dyDescent="0.3">
      <c r="A576" s="13" t="s">
        <v>29</v>
      </c>
      <c r="B576" s="13" t="s">
        <v>9</v>
      </c>
      <c r="C576" s="13" t="s">
        <v>21</v>
      </c>
      <c r="D576" s="13" t="s">
        <v>11</v>
      </c>
      <c r="E576">
        <v>24</v>
      </c>
      <c r="F576" s="15">
        <v>28800</v>
      </c>
      <c r="G576" s="14">
        <v>8328</v>
      </c>
      <c r="H576" s="14">
        <v>974.85714285714494</v>
      </c>
      <c r="I576" s="15">
        <v>1200</v>
      </c>
    </row>
    <row r="577" spans="1:9" x14ac:dyDescent="0.3">
      <c r="A577" s="13" t="s">
        <v>29</v>
      </c>
      <c r="B577" s="13" t="s">
        <v>9</v>
      </c>
      <c r="C577" s="13" t="s">
        <v>22</v>
      </c>
      <c r="D577" s="13" t="s">
        <v>23</v>
      </c>
      <c r="E577">
        <v>48</v>
      </c>
      <c r="F577" s="15">
        <v>9552</v>
      </c>
      <c r="G577" s="14">
        <v>4960</v>
      </c>
      <c r="H577" s="14">
        <v>218.66666666666697</v>
      </c>
      <c r="I577" s="15">
        <v>199</v>
      </c>
    </row>
    <row r="578" spans="1:9" x14ac:dyDescent="0.3">
      <c r="A578" s="13" t="s">
        <v>29</v>
      </c>
      <c r="B578" s="13" t="s">
        <v>9</v>
      </c>
      <c r="C578" s="13" t="s">
        <v>24</v>
      </c>
      <c r="D578" s="13" t="s">
        <v>23</v>
      </c>
      <c r="E578">
        <v>60</v>
      </c>
      <c r="F578" s="15">
        <v>27000</v>
      </c>
      <c r="G578" s="14">
        <v>13792</v>
      </c>
      <c r="H578" s="14">
        <v>628.95238095238165</v>
      </c>
      <c r="I578" s="15">
        <v>450</v>
      </c>
    </row>
    <row r="579" spans="1:9" x14ac:dyDescent="0.3">
      <c r="A579" s="13" t="s">
        <v>29</v>
      </c>
      <c r="B579" s="13" t="s">
        <v>9</v>
      </c>
      <c r="C579" s="13" t="s">
        <v>25</v>
      </c>
      <c r="D579" s="13" t="s">
        <v>23</v>
      </c>
      <c r="E579">
        <v>16</v>
      </c>
      <c r="F579" s="15">
        <v>14400</v>
      </c>
      <c r="G579" s="14">
        <v>8176</v>
      </c>
      <c r="H579" s="14">
        <v>949.42372881355914</v>
      </c>
      <c r="I579" s="15">
        <v>900</v>
      </c>
    </row>
    <row r="580" spans="1:9" x14ac:dyDescent="0.3">
      <c r="A580" s="13" t="s">
        <v>29</v>
      </c>
      <c r="B580" s="13" t="s">
        <v>9</v>
      </c>
      <c r="C580" s="13" t="s">
        <v>13</v>
      </c>
      <c r="D580" s="13" t="s">
        <v>14</v>
      </c>
      <c r="E580">
        <v>24</v>
      </c>
      <c r="F580" s="15">
        <v>9000</v>
      </c>
      <c r="G580" s="14">
        <v>4624</v>
      </c>
      <c r="H580" s="14">
        <v>208.38095238095229</v>
      </c>
      <c r="I580" s="15">
        <v>375</v>
      </c>
    </row>
    <row r="581" spans="1:9" x14ac:dyDescent="0.3">
      <c r="A581" s="13" t="s">
        <v>29</v>
      </c>
      <c r="B581" s="13" t="s">
        <v>9</v>
      </c>
      <c r="C581" s="13" t="s">
        <v>12</v>
      </c>
      <c r="D581" s="13" t="s">
        <v>11</v>
      </c>
      <c r="E581">
        <v>8</v>
      </c>
      <c r="F581" s="15">
        <v>4800</v>
      </c>
      <c r="G581" s="14">
        <v>1280</v>
      </c>
      <c r="H581" s="14">
        <v>167.61904761904771</v>
      </c>
      <c r="I581" s="15">
        <v>600</v>
      </c>
    </row>
    <row r="582" spans="1:9" x14ac:dyDescent="0.3">
      <c r="A582" s="13" t="s">
        <v>29</v>
      </c>
      <c r="B582" s="13" t="s">
        <v>9</v>
      </c>
      <c r="C582" s="13" t="s">
        <v>18</v>
      </c>
      <c r="D582" s="13" t="s">
        <v>17</v>
      </c>
      <c r="E582">
        <v>8</v>
      </c>
      <c r="F582" s="15">
        <v>4600</v>
      </c>
      <c r="G582" s="14">
        <v>1100</v>
      </c>
      <c r="H582" s="14">
        <v>375.00000000000045</v>
      </c>
      <c r="I582" s="15">
        <v>575</v>
      </c>
    </row>
    <row r="583" spans="1:9" x14ac:dyDescent="0.3">
      <c r="A583" s="13" t="s">
        <v>29</v>
      </c>
      <c r="B583" s="13" t="s">
        <v>9</v>
      </c>
      <c r="C583" s="13" t="s">
        <v>21</v>
      </c>
      <c r="D583" s="13" t="s">
        <v>11</v>
      </c>
      <c r="E583">
        <v>8</v>
      </c>
      <c r="F583" s="15">
        <v>9600</v>
      </c>
      <c r="G583" s="14">
        <v>2944</v>
      </c>
      <c r="H583" s="14">
        <v>316.95238095238165</v>
      </c>
      <c r="I583" s="15">
        <v>1200</v>
      </c>
    </row>
    <row r="584" spans="1:9" x14ac:dyDescent="0.3">
      <c r="A584" s="13" t="s">
        <v>29</v>
      </c>
      <c r="B584" s="13" t="s">
        <v>9</v>
      </c>
      <c r="C584" s="13" t="s">
        <v>20</v>
      </c>
      <c r="D584" s="13" t="s">
        <v>14</v>
      </c>
      <c r="E584">
        <v>4</v>
      </c>
      <c r="F584" s="15">
        <v>3000</v>
      </c>
      <c r="G584" s="14">
        <v>1504</v>
      </c>
      <c r="H584" s="14">
        <v>71.238095238095411</v>
      </c>
      <c r="I584" s="15">
        <v>750</v>
      </c>
    </row>
    <row r="585" spans="1:9" x14ac:dyDescent="0.3">
      <c r="A585" s="13" t="s">
        <v>29</v>
      </c>
      <c r="B585" s="13" t="s">
        <v>9</v>
      </c>
      <c r="C585" s="13" t="s">
        <v>22</v>
      </c>
      <c r="D585" s="13" t="s">
        <v>23</v>
      </c>
      <c r="E585">
        <v>60</v>
      </c>
      <c r="F585" s="15">
        <v>11940</v>
      </c>
      <c r="G585" s="14">
        <v>6228</v>
      </c>
      <c r="H585" s="14">
        <v>272</v>
      </c>
      <c r="I585" s="15">
        <v>199</v>
      </c>
    </row>
    <row r="586" spans="1:9" x14ac:dyDescent="0.3">
      <c r="A586" s="13" t="s">
        <v>29</v>
      </c>
      <c r="B586" s="13" t="s">
        <v>9</v>
      </c>
      <c r="C586" s="13" t="s">
        <v>24</v>
      </c>
      <c r="D586" s="13" t="s">
        <v>23</v>
      </c>
      <c r="E586">
        <v>84</v>
      </c>
      <c r="F586" s="15">
        <v>37800</v>
      </c>
      <c r="G586" s="14">
        <v>19340</v>
      </c>
      <c r="H586" s="14">
        <v>879.04761904761835</v>
      </c>
      <c r="I586" s="15">
        <v>450</v>
      </c>
    </row>
    <row r="587" spans="1:9" x14ac:dyDescent="0.3">
      <c r="A587" s="13" t="s">
        <v>29</v>
      </c>
      <c r="B587" s="13" t="s">
        <v>9</v>
      </c>
      <c r="C587" s="13" t="s">
        <v>13</v>
      </c>
      <c r="D587" s="13" t="s">
        <v>14</v>
      </c>
      <c r="E587">
        <v>48</v>
      </c>
      <c r="F587" s="15">
        <v>18000</v>
      </c>
      <c r="G587" s="14">
        <v>9488</v>
      </c>
      <c r="H587" s="14">
        <v>405.33333333333394</v>
      </c>
      <c r="I587" s="15">
        <v>375</v>
      </c>
    </row>
    <row r="588" spans="1:9" x14ac:dyDescent="0.3">
      <c r="A588" s="13" t="s">
        <v>29</v>
      </c>
      <c r="B588" s="13" t="s">
        <v>9</v>
      </c>
      <c r="C588" s="13" t="s">
        <v>12</v>
      </c>
      <c r="D588" s="13" t="s">
        <v>11</v>
      </c>
      <c r="E588">
        <v>8</v>
      </c>
      <c r="F588" s="15">
        <v>4800</v>
      </c>
      <c r="G588" s="14">
        <v>1284</v>
      </c>
      <c r="H588" s="14">
        <v>167.42857142857156</v>
      </c>
      <c r="I588" s="15">
        <v>600</v>
      </c>
    </row>
    <row r="589" spans="1:9" x14ac:dyDescent="0.3">
      <c r="A589" s="13" t="s">
        <v>29</v>
      </c>
      <c r="B589" s="13" t="s">
        <v>9</v>
      </c>
      <c r="C589" s="13" t="s">
        <v>18</v>
      </c>
      <c r="D589" s="13" t="s">
        <v>17</v>
      </c>
      <c r="E589">
        <v>4</v>
      </c>
      <c r="F589" s="15">
        <v>2300</v>
      </c>
      <c r="G589" s="14">
        <v>492</v>
      </c>
      <c r="H589" s="14">
        <v>193.71428571428578</v>
      </c>
      <c r="I589" s="15">
        <v>575</v>
      </c>
    </row>
    <row r="590" spans="1:9" x14ac:dyDescent="0.3">
      <c r="A590" s="13" t="s">
        <v>29</v>
      </c>
      <c r="B590" s="13" t="s">
        <v>9</v>
      </c>
      <c r="C590" s="13" t="s">
        <v>21</v>
      </c>
      <c r="D590" s="13" t="s">
        <v>11</v>
      </c>
      <c r="E590">
        <v>4</v>
      </c>
      <c r="F590" s="15">
        <v>4800</v>
      </c>
      <c r="G590" s="14">
        <v>1352</v>
      </c>
      <c r="H590" s="14">
        <v>164.19047619047615</v>
      </c>
      <c r="I590" s="15">
        <v>1200</v>
      </c>
    </row>
    <row r="591" spans="1:9" x14ac:dyDescent="0.3">
      <c r="A591" s="13" t="s">
        <v>29</v>
      </c>
      <c r="B591" s="13" t="s">
        <v>9</v>
      </c>
      <c r="C591" s="13" t="s">
        <v>22</v>
      </c>
      <c r="D591" s="13" t="s">
        <v>23</v>
      </c>
      <c r="E591">
        <v>36</v>
      </c>
      <c r="F591" s="15">
        <v>7164</v>
      </c>
      <c r="G591" s="14">
        <v>3732</v>
      </c>
      <c r="H591" s="14">
        <v>163.42857142857156</v>
      </c>
      <c r="I591" s="15">
        <v>199</v>
      </c>
    </row>
    <row r="592" spans="1:9" x14ac:dyDescent="0.3">
      <c r="A592" s="13" t="s">
        <v>29</v>
      </c>
      <c r="B592" s="13" t="s">
        <v>9</v>
      </c>
      <c r="C592" s="13" t="s">
        <v>24</v>
      </c>
      <c r="D592" s="13" t="s">
        <v>23</v>
      </c>
      <c r="E592">
        <v>64</v>
      </c>
      <c r="F592" s="15">
        <v>28800</v>
      </c>
      <c r="G592" s="14">
        <v>14744</v>
      </c>
      <c r="H592" s="14">
        <v>669.33333333333394</v>
      </c>
      <c r="I592" s="15">
        <v>450</v>
      </c>
    </row>
    <row r="593" spans="1:9" x14ac:dyDescent="0.3">
      <c r="A593" s="13" t="s">
        <v>29</v>
      </c>
      <c r="B593" s="13" t="s">
        <v>9</v>
      </c>
      <c r="C593" s="13" t="s">
        <v>25</v>
      </c>
      <c r="D593" s="13" t="s">
        <v>23</v>
      </c>
      <c r="E593">
        <v>16</v>
      </c>
      <c r="F593" s="15">
        <v>14400</v>
      </c>
      <c r="G593" s="14">
        <v>8176</v>
      </c>
      <c r="H593" s="14">
        <v>949.42372881355914</v>
      </c>
      <c r="I593" s="15">
        <v>900</v>
      </c>
    </row>
    <row r="594" spans="1:9" x14ac:dyDescent="0.3">
      <c r="A594" s="13" t="s">
        <v>29</v>
      </c>
      <c r="B594" s="13" t="s">
        <v>9</v>
      </c>
      <c r="C594" s="13" t="s">
        <v>13</v>
      </c>
      <c r="D594" s="13" t="s">
        <v>14</v>
      </c>
      <c r="E594">
        <v>72</v>
      </c>
      <c r="F594" s="15">
        <v>27000</v>
      </c>
      <c r="G594" s="14">
        <v>14672</v>
      </c>
      <c r="H594" s="14">
        <v>587.04761904762017</v>
      </c>
      <c r="I594" s="15">
        <v>375</v>
      </c>
    </row>
    <row r="595" spans="1:9" x14ac:dyDescent="0.3">
      <c r="A595" s="13" t="s">
        <v>29</v>
      </c>
      <c r="B595" s="13" t="s">
        <v>9</v>
      </c>
      <c r="C595" s="13" t="s">
        <v>15</v>
      </c>
      <c r="D595" s="13" t="s">
        <v>14</v>
      </c>
      <c r="E595">
        <v>12</v>
      </c>
      <c r="F595" s="15">
        <v>1980</v>
      </c>
      <c r="G595" s="14">
        <v>948</v>
      </c>
      <c r="H595" s="14">
        <v>49.142857142857224</v>
      </c>
      <c r="I595" s="15">
        <v>165</v>
      </c>
    </row>
    <row r="596" spans="1:9" x14ac:dyDescent="0.3">
      <c r="A596" s="13" t="s">
        <v>29</v>
      </c>
      <c r="B596" s="13" t="s">
        <v>9</v>
      </c>
      <c r="C596" s="13" t="s">
        <v>18</v>
      </c>
      <c r="D596" s="13" t="s">
        <v>17</v>
      </c>
      <c r="E596">
        <v>12</v>
      </c>
      <c r="F596" s="15">
        <v>6900</v>
      </c>
      <c r="G596" s="14">
        <v>1644</v>
      </c>
      <c r="H596" s="14">
        <v>563.14285714285779</v>
      </c>
      <c r="I596" s="15">
        <v>575</v>
      </c>
    </row>
    <row r="597" spans="1:9" x14ac:dyDescent="0.3">
      <c r="A597" s="13" t="s">
        <v>29</v>
      </c>
      <c r="B597" s="13" t="s">
        <v>9</v>
      </c>
      <c r="C597" s="13" t="s">
        <v>19</v>
      </c>
      <c r="D597" s="13" t="s">
        <v>17</v>
      </c>
      <c r="E597">
        <v>4</v>
      </c>
      <c r="F597" s="15">
        <v>4600</v>
      </c>
      <c r="G597" s="14">
        <v>1240</v>
      </c>
      <c r="H597" s="14">
        <v>360.00000000000045</v>
      </c>
      <c r="I597" s="15">
        <v>1150</v>
      </c>
    </row>
    <row r="598" spans="1:9" x14ac:dyDescent="0.3">
      <c r="A598" s="13" t="s">
        <v>29</v>
      </c>
      <c r="B598" s="13" t="s">
        <v>9</v>
      </c>
      <c r="C598" s="13" t="s">
        <v>21</v>
      </c>
      <c r="D598" s="13" t="s">
        <v>11</v>
      </c>
      <c r="E598">
        <v>8</v>
      </c>
      <c r="F598" s="15">
        <v>9600</v>
      </c>
      <c r="G598" s="14">
        <v>2724</v>
      </c>
      <c r="H598" s="14">
        <v>327.42857142857156</v>
      </c>
      <c r="I598" s="15">
        <v>1200</v>
      </c>
    </row>
    <row r="599" spans="1:9" x14ac:dyDescent="0.3">
      <c r="A599" s="13" t="s">
        <v>29</v>
      </c>
      <c r="B599" s="13" t="s">
        <v>9</v>
      </c>
      <c r="C599" s="13" t="s">
        <v>20</v>
      </c>
      <c r="D599" s="13" t="s">
        <v>14</v>
      </c>
      <c r="E599">
        <v>12</v>
      </c>
      <c r="F599" s="15">
        <v>9000</v>
      </c>
      <c r="G599" s="14">
        <v>4172</v>
      </c>
      <c r="H599" s="14">
        <v>229.90476190476238</v>
      </c>
      <c r="I599" s="15">
        <v>750</v>
      </c>
    </row>
    <row r="600" spans="1:9" x14ac:dyDescent="0.3">
      <c r="A600" s="13" t="s">
        <v>29</v>
      </c>
      <c r="B600" s="13" t="s">
        <v>9</v>
      </c>
      <c r="C600" s="13" t="s">
        <v>22</v>
      </c>
      <c r="D600" s="13" t="s">
        <v>23</v>
      </c>
      <c r="E600">
        <v>36</v>
      </c>
      <c r="F600" s="15">
        <v>7164</v>
      </c>
      <c r="G600" s="14">
        <v>3732</v>
      </c>
      <c r="H600" s="14">
        <v>163.42857142857156</v>
      </c>
      <c r="I600" s="15">
        <v>199</v>
      </c>
    </row>
    <row r="601" spans="1:9" x14ac:dyDescent="0.3">
      <c r="A601" s="13" t="s">
        <v>29</v>
      </c>
      <c r="B601" s="13" t="s">
        <v>9</v>
      </c>
      <c r="C601" s="13" t="s">
        <v>24</v>
      </c>
      <c r="D601" s="13" t="s">
        <v>23</v>
      </c>
      <c r="E601">
        <v>68</v>
      </c>
      <c r="F601" s="15">
        <v>30600</v>
      </c>
      <c r="G601" s="14">
        <v>15712</v>
      </c>
      <c r="H601" s="14">
        <v>708.95238095238165</v>
      </c>
      <c r="I601" s="15">
        <v>450</v>
      </c>
    </row>
    <row r="602" spans="1:9" x14ac:dyDescent="0.3">
      <c r="A602" s="13" t="s">
        <v>29</v>
      </c>
      <c r="B602" s="13" t="s">
        <v>9</v>
      </c>
      <c r="C602" s="13" t="s">
        <v>25</v>
      </c>
      <c r="D602" s="13" t="s">
        <v>23</v>
      </c>
      <c r="E602">
        <v>56</v>
      </c>
      <c r="F602" s="15">
        <v>50400</v>
      </c>
      <c r="G602" s="14">
        <v>28500</v>
      </c>
      <c r="H602" s="14">
        <v>3340.6779661016953</v>
      </c>
      <c r="I602" s="15">
        <v>900</v>
      </c>
    </row>
    <row r="603" spans="1:9" x14ac:dyDescent="0.3">
      <c r="A603" s="13" t="s">
        <v>29</v>
      </c>
      <c r="B603" s="13" t="s">
        <v>9</v>
      </c>
      <c r="C603" s="13" t="s">
        <v>13</v>
      </c>
      <c r="D603" s="13" t="s">
        <v>14</v>
      </c>
      <c r="E603">
        <v>20</v>
      </c>
      <c r="F603" s="15">
        <v>7500</v>
      </c>
      <c r="G603" s="14">
        <v>3960</v>
      </c>
      <c r="H603" s="14">
        <v>168.5714285714289</v>
      </c>
      <c r="I603" s="15">
        <v>375</v>
      </c>
    </row>
    <row r="604" spans="1:9" x14ac:dyDescent="0.3">
      <c r="A604" s="13" t="s">
        <v>29</v>
      </c>
      <c r="B604" s="13" t="s">
        <v>9</v>
      </c>
      <c r="C604" s="13" t="s">
        <v>12</v>
      </c>
      <c r="D604" s="13" t="s">
        <v>11</v>
      </c>
      <c r="E604">
        <v>4</v>
      </c>
      <c r="F604" s="15">
        <v>2400</v>
      </c>
      <c r="G604" s="14">
        <v>720</v>
      </c>
      <c r="H604" s="14">
        <v>80</v>
      </c>
      <c r="I604" s="15">
        <v>600</v>
      </c>
    </row>
    <row r="605" spans="1:9" x14ac:dyDescent="0.3">
      <c r="A605" s="13" t="s">
        <v>29</v>
      </c>
      <c r="B605" s="13" t="s">
        <v>9</v>
      </c>
      <c r="C605" s="13" t="s">
        <v>10</v>
      </c>
      <c r="D605" s="13" t="s">
        <v>11</v>
      </c>
      <c r="E605">
        <v>8</v>
      </c>
      <c r="F605" s="15">
        <v>2680</v>
      </c>
      <c r="G605" s="14">
        <v>1240</v>
      </c>
      <c r="H605" s="14">
        <v>68.571428571428669</v>
      </c>
      <c r="I605" s="15">
        <v>335</v>
      </c>
    </row>
    <row r="606" spans="1:9" x14ac:dyDescent="0.3">
      <c r="A606" s="13" t="s">
        <v>29</v>
      </c>
      <c r="B606" s="13" t="s">
        <v>9</v>
      </c>
      <c r="C606" s="13" t="s">
        <v>16</v>
      </c>
      <c r="D606" s="13" t="s">
        <v>17</v>
      </c>
      <c r="E606">
        <v>8</v>
      </c>
      <c r="F606" s="15">
        <v>2392</v>
      </c>
      <c r="G606" s="14">
        <v>1112</v>
      </c>
      <c r="H606" s="14">
        <v>137.14285714285734</v>
      </c>
      <c r="I606" s="15">
        <v>299</v>
      </c>
    </row>
    <row r="607" spans="1:9" x14ac:dyDescent="0.3">
      <c r="A607" s="13" t="s">
        <v>29</v>
      </c>
      <c r="B607" s="13" t="s">
        <v>9</v>
      </c>
      <c r="C607" s="13" t="s">
        <v>19</v>
      </c>
      <c r="D607" s="13" t="s">
        <v>17</v>
      </c>
      <c r="E607">
        <v>4</v>
      </c>
      <c r="F607" s="15">
        <v>4600</v>
      </c>
      <c r="G607" s="14">
        <v>1440</v>
      </c>
      <c r="H607" s="14">
        <v>338.5714285714289</v>
      </c>
      <c r="I607" s="15">
        <v>1150</v>
      </c>
    </row>
    <row r="608" spans="1:9" x14ac:dyDescent="0.3">
      <c r="A608" s="13" t="s">
        <v>29</v>
      </c>
      <c r="B608" s="13" t="s">
        <v>9</v>
      </c>
      <c r="C608" s="13" t="s">
        <v>22</v>
      </c>
      <c r="D608" s="13" t="s">
        <v>23</v>
      </c>
      <c r="E608">
        <v>36</v>
      </c>
      <c r="F608" s="15">
        <v>7164</v>
      </c>
      <c r="G608" s="14">
        <v>3688</v>
      </c>
      <c r="H608" s="14">
        <v>165.52380952380963</v>
      </c>
      <c r="I608" s="15">
        <v>199</v>
      </c>
    </row>
    <row r="609" spans="1:9" x14ac:dyDescent="0.3">
      <c r="A609" s="13" t="s">
        <v>29</v>
      </c>
      <c r="B609" s="13" t="s">
        <v>9</v>
      </c>
      <c r="C609" s="13" t="s">
        <v>24</v>
      </c>
      <c r="D609" s="13" t="s">
        <v>23</v>
      </c>
      <c r="E609">
        <v>8</v>
      </c>
      <c r="F609" s="15">
        <v>3600</v>
      </c>
      <c r="G609" s="14">
        <v>1808</v>
      </c>
      <c r="H609" s="14">
        <v>85.333333333333485</v>
      </c>
      <c r="I609" s="15">
        <v>450</v>
      </c>
    </row>
    <row r="610" spans="1:9" x14ac:dyDescent="0.3">
      <c r="A610" s="13" t="s">
        <v>29</v>
      </c>
      <c r="B610" s="13" t="s">
        <v>9</v>
      </c>
      <c r="C610" s="13" t="s">
        <v>25</v>
      </c>
      <c r="D610" s="13" t="s">
        <v>23</v>
      </c>
      <c r="E610">
        <v>8</v>
      </c>
      <c r="F610" s="15">
        <v>7200</v>
      </c>
      <c r="G610" s="14">
        <v>4056</v>
      </c>
      <c r="H610" s="14">
        <v>479.59322033898297</v>
      </c>
      <c r="I610" s="15">
        <v>900</v>
      </c>
    </row>
    <row r="611" spans="1:9" x14ac:dyDescent="0.3">
      <c r="A611" s="13" t="s">
        <v>30</v>
      </c>
      <c r="B611" s="13" t="s">
        <v>28</v>
      </c>
      <c r="C611" s="13" t="s">
        <v>24</v>
      </c>
      <c r="D611" s="13" t="s">
        <v>23</v>
      </c>
      <c r="E611">
        <v>2</v>
      </c>
      <c r="F611" s="15">
        <v>900</v>
      </c>
      <c r="G611" s="14">
        <v>344</v>
      </c>
      <c r="H611" s="14">
        <v>26.476190476190482</v>
      </c>
      <c r="I611" s="15">
        <v>450</v>
      </c>
    </row>
    <row r="612" spans="1:9" x14ac:dyDescent="0.3">
      <c r="A612" s="13" t="s">
        <v>30</v>
      </c>
      <c r="B612" s="13" t="s">
        <v>28</v>
      </c>
      <c r="C612" s="13" t="s">
        <v>13</v>
      </c>
      <c r="D612" s="13" t="s">
        <v>14</v>
      </c>
      <c r="E612">
        <v>2</v>
      </c>
      <c r="F612" s="15">
        <v>750</v>
      </c>
      <c r="G612" s="14">
        <v>334</v>
      </c>
      <c r="H612" s="14">
        <v>19.809523809523853</v>
      </c>
      <c r="I612" s="15">
        <v>375</v>
      </c>
    </row>
    <row r="613" spans="1:9" x14ac:dyDescent="0.3">
      <c r="A613" s="13" t="s">
        <v>30</v>
      </c>
      <c r="B613" s="13" t="s">
        <v>28</v>
      </c>
      <c r="C613" s="13" t="s">
        <v>18</v>
      </c>
      <c r="D613" s="13" t="s">
        <v>17</v>
      </c>
      <c r="E613">
        <v>2</v>
      </c>
      <c r="F613" s="15">
        <v>1150</v>
      </c>
      <c r="G613" s="14">
        <v>294</v>
      </c>
      <c r="H613" s="14">
        <v>91.714285714285779</v>
      </c>
      <c r="I613" s="15">
        <v>575</v>
      </c>
    </row>
    <row r="614" spans="1:9" x14ac:dyDescent="0.3">
      <c r="A614" s="13" t="s">
        <v>30</v>
      </c>
      <c r="B614" s="13" t="s">
        <v>28</v>
      </c>
      <c r="C614" s="13" t="s">
        <v>22</v>
      </c>
      <c r="D614" s="13" t="s">
        <v>23</v>
      </c>
      <c r="E614">
        <v>4</v>
      </c>
      <c r="F614" s="15">
        <v>796</v>
      </c>
      <c r="G614" s="14">
        <v>200</v>
      </c>
      <c r="H614" s="14">
        <v>28.380952380952408</v>
      </c>
      <c r="I614" s="15">
        <v>199</v>
      </c>
    </row>
    <row r="615" spans="1:9" x14ac:dyDescent="0.3">
      <c r="A615" s="13" t="s">
        <v>30</v>
      </c>
      <c r="B615" s="13" t="s">
        <v>28</v>
      </c>
      <c r="C615" s="13" t="s">
        <v>12</v>
      </c>
      <c r="D615" s="13" t="s">
        <v>11</v>
      </c>
      <c r="E615">
        <v>4</v>
      </c>
      <c r="F615" s="15">
        <v>2400</v>
      </c>
      <c r="G615" s="14">
        <v>688</v>
      </c>
      <c r="H615" s="14">
        <v>81.523809523809632</v>
      </c>
      <c r="I615" s="15">
        <v>600</v>
      </c>
    </row>
    <row r="616" spans="1:9" x14ac:dyDescent="0.3">
      <c r="A616" s="13" t="s">
        <v>30</v>
      </c>
      <c r="B616" s="13" t="s">
        <v>28</v>
      </c>
      <c r="C616" s="13" t="s">
        <v>13</v>
      </c>
      <c r="D616" s="13" t="s">
        <v>14</v>
      </c>
      <c r="E616">
        <v>2</v>
      </c>
      <c r="F616" s="15">
        <v>750</v>
      </c>
      <c r="G616" s="14">
        <v>334</v>
      </c>
      <c r="H616" s="14">
        <v>19.809523809523853</v>
      </c>
      <c r="I616" s="15">
        <v>375</v>
      </c>
    </row>
    <row r="617" spans="1:9" x14ac:dyDescent="0.3">
      <c r="A617" s="13" t="s">
        <v>30</v>
      </c>
      <c r="B617" s="13" t="s">
        <v>28</v>
      </c>
      <c r="C617" s="13" t="s">
        <v>18</v>
      </c>
      <c r="D617" s="13" t="s">
        <v>17</v>
      </c>
      <c r="E617">
        <v>2</v>
      </c>
      <c r="F617" s="15">
        <v>1150</v>
      </c>
      <c r="G617" s="14">
        <v>294</v>
      </c>
      <c r="H617" s="14">
        <v>91.714285714285779</v>
      </c>
      <c r="I617" s="15">
        <v>575</v>
      </c>
    </row>
    <row r="618" spans="1:9" x14ac:dyDescent="0.3">
      <c r="A618" s="13" t="s">
        <v>30</v>
      </c>
      <c r="B618" s="13" t="s">
        <v>28</v>
      </c>
      <c r="C618" s="13" t="s">
        <v>22</v>
      </c>
      <c r="D618" s="13" t="s">
        <v>23</v>
      </c>
      <c r="E618">
        <v>2</v>
      </c>
      <c r="F618" s="15">
        <v>398</v>
      </c>
      <c r="G618" s="14">
        <v>100</v>
      </c>
      <c r="H618" s="14">
        <v>14.190476190476204</v>
      </c>
      <c r="I618" s="15">
        <v>199</v>
      </c>
    </row>
    <row r="619" spans="1:9" x14ac:dyDescent="0.3">
      <c r="A619" s="13" t="s">
        <v>30</v>
      </c>
      <c r="B619" s="13" t="s">
        <v>28</v>
      </c>
      <c r="C619" s="13" t="s">
        <v>24</v>
      </c>
      <c r="D619" s="13" t="s">
        <v>23</v>
      </c>
      <c r="E619">
        <v>2</v>
      </c>
      <c r="F619" s="15">
        <v>900</v>
      </c>
      <c r="G619" s="14">
        <v>344</v>
      </c>
      <c r="H619" s="14">
        <v>26.476190476190482</v>
      </c>
      <c r="I619" s="15">
        <v>450</v>
      </c>
    </row>
    <row r="620" spans="1:9" x14ac:dyDescent="0.3">
      <c r="A620" s="13" t="s">
        <v>30</v>
      </c>
      <c r="B620" s="13" t="s">
        <v>28</v>
      </c>
      <c r="C620" s="13" t="s">
        <v>22</v>
      </c>
      <c r="D620" s="13" t="s">
        <v>23</v>
      </c>
      <c r="E620">
        <v>2</v>
      </c>
      <c r="F620" s="15">
        <v>398</v>
      </c>
      <c r="G620" s="14">
        <v>100</v>
      </c>
      <c r="H620" s="14">
        <v>14.190476190476204</v>
      </c>
      <c r="I620" s="15">
        <v>199</v>
      </c>
    </row>
    <row r="621" spans="1:9" x14ac:dyDescent="0.3">
      <c r="A621" s="13" t="s">
        <v>30</v>
      </c>
      <c r="B621" s="13" t="s">
        <v>28</v>
      </c>
      <c r="C621" s="13" t="s">
        <v>12</v>
      </c>
      <c r="D621" s="13" t="s">
        <v>11</v>
      </c>
      <c r="E621">
        <v>4</v>
      </c>
      <c r="F621" s="15">
        <v>2400</v>
      </c>
      <c r="G621" s="14">
        <v>688</v>
      </c>
      <c r="H621" s="14">
        <v>81.523809523809632</v>
      </c>
      <c r="I621" s="15">
        <v>600</v>
      </c>
    </row>
    <row r="622" spans="1:9" x14ac:dyDescent="0.3">
      <c r="A622" s="13" t="s">
        <v>30</v>
      </c>
      <c r="B622" s="13" t="s">
        <v>28</v>
      </c>
      <c r="C622" s="13" t="s">
        <v>21</v>
      </c>
      <c r="D622" s="13" t="s">
        <v>11</v>
      </c>
      <c r="E622">
        <v>4</v>
      </c>
      <c r="F622" s="15">
        <v>4800</v>
      </c>
      <c r="G622" s="14">
        <v>1520</v>
      </c>
      <c r="H622" s="14">
        <v>156.19047619047615</v>
      </c>
      <c r="I622" s="15">
        <v>1200</v>
      </c>
    </row>
    <row r="623" spans="1:9" x14ac:dyDescent="0.3">
      <c r="A623" s="13" t="s">
        <v>30</v>
      </c>
      <c r="B623" s="13" t="s">
        <v>28</v>
      </c>
      <c r="C623" s="13" t="s">
        <v>24</v>
      </c>
      <c r="D623" s="13" t="s">
        <v>23</v>
      </c>
      <c r="E623">
        <v>2</v>
      </c>
      <c r="F623" s="15">
        <v>900</v>
      </c>
      <c r="G623" s="14">
        <v>344</v>
      </c>
      <c r="H623" s="14">
        <v>26.476190476190482</v>
      </c>
      <c r="I623" s="15">
        <v>450</v>
      </c>
    </row>
    <row r="624" spans="1:9" x14ac:dyDescent="0.3">
      <c r="A624" s="13" t="s">
        <v>30</v>
      </c>
      <c r="B624" s="13" t="s">
        <v>28</v>
      </c>
      <c r="C624" s="13" t="s">
        <v>12</v>
      </c>
      <c r="D624" s="13" t="s">
        <v>11</v>
      </c>
      <c r="E624">
        <v>2</v>
      </c>
      <c r="F624" s="15">
        <v>1200</v>
      </c>
      <c r="G624" s="14">
        <v>344</v>
      </c>
      <c r="H624" s="14">
        <v>40.761904761904816</v>
      </c>
      <c r="I624" s="15">
        <v>600</v>
      </c>
    </row>
    <row r="625" spans="1:9" x14ac:dyDescent="0.3">
      <c r="A625" s="13" t="s">
        <v>30</v>
      </c>
      <c r="B625" s="13" t="s">
        <v>28</v>
      </c>
      <c r="C625" s="13" t="s">
        <v>19</v>
      </c>
      <c r="D625" s="13" t="s">
        <v>17</v>
      </c>
      <c r="E625">
        <v>4</v>
      </c>
      <c r="F625" s="15">
        <v>4600</v>
      </c>
      <c r="G625" s="14">
        <v>1320</v>
      </c>
      <c r="H625" s="14">
        <v>351.42857142857156</v>
      </c>
      <c r="I625" s="15">
        <v>1150</v>
      </c>
    </row>
    <row r="626" spans="1:9" x14ac:dyDescent="0.3">
      <c r="A626" s="13" t="s">
        <v>30</v>
      </c>
      <c r="B626" s="13" t="s">
        <v>28</v>
      </c>
      <c r="C626" s="13" t="s">
        <v>24</v>
      </c>
      <c r="D626" s="13" t="s">
        <v>23</v>
      </c>
      <c r="E626">
        <v>2</v>
      </c>
      <c r="F626" s="15">
        <v>900</v>
      </c>
      <c r="G626" s="14">
        <v>344</v>
      </c>
      <c r="H626" s="14">
        <v>26.476190476190482</v>
      </c>
      <c r="I626" s="15">
        <v>450</v>
      </c>
    </row>
    <row r="627" spans="1:9" x14ac:dyDescent="0.3">
      <c r="A627" s="13" t="s">
        <v>30</v>
      </c>
      <c r="B627" s="13" t="s">
        <v>28</v>
      </c>
      <c r="C627" s="13" t="s">
        <v>18</v>
      </c>
      <c r="D627" s="13" t="s">
        <v>17</v>
      </c>
      <c r="E627">
        <v>2</v>
      </c>
      <c r="F627" s="15">
        <v>1150</v>
      </c>
      <c r="G627" s="14">
        <v>294</v>
      </c>
      <c r="H627" s="14">
        <v>91.714285714285779</v>
      </c>
      <c r="I627" s="15">
        <v>575</v>
      </c>
    </row>
    <row r="628" spans="1:9" x14ac:dyDescent="0.3">
      <c r="A628" s="13" t="s">
        <v>30</v>
      </c>
      <c r="B628" s="13" t="s">
        <v>28</v>
      </c>
      <c r="C628" s="13" t="s">
        <v>22</v>
      </c>
      <c r="D628" s="13" t="s">
        <v>23</v>
      </c>
      <c r="E628">
        <v>2</v>
      </c>
      <c r="F628" s="15">
        <v>398</v>
      </c>
      <c r="G628" s="14">
        <v>100</v>
      </c>
      <c r="H628" s="14">
        <v>14.190476190476204</v>
      </c>
      <c r="I628" s="15">
        <v>199</v>
      </c>
    </row>
    <row r="629" spans="1:9" x14ac:dyDescent="0.3">
      <c r="A629" s="13" t="s">
        <v>30</v>
      </c>
      <c r="B629" s="13" t="s">
        <v>28</v>
      </c>
      <c r="C629" s="13" t="s">
        <v>12</v>
      </c>
      <c r="D629" s="13" t="s">
        <v>11</v>
      </c>
      <c r="E629">
        <v>2</v>
      </c>
      <c r="F629" s="15">
        <v>1200</v>
      </c>
      <c r="G629" s="14">
        <v>202</v>
      </c>
      <c r="H629" s="14">
        <v>47.523809523809518</v>
      </c>
      <c r="I629" s="15">
        <v>600</v>
      </c>
    </row>
    <row r="630" spans="1:9" x14ac:dyDescent="0.3">
      <c r="A630" s="13" t="s">
        <v>30</v>
      </c>
      <c r="B630" s="13" t="s">
        <v>28</v>
      </c>
      <c r="C630" s="13" t="s">
        <v>16</v>
      </c>
      <c r="D630" s="13" t="s">
        <v>17</v>
      </c>
      <c r="E630">
        <v>2</v>
      </c>
      <c r="F630" s="15">
        <v>598</v>
      </c>
      <c r="G630" s="14">
        <v>100</v>
      </c>
      <c r="H630" s="14">
        <v>53.35714285714289</v>
      </c>
      <c r="I630" s="15">
        <v>299</v>
      </c>
    </row>
    <row r="631" spans="1:9" x14ac:dyDescent="0.3">
      <c r="A631" s="13" t="s">
        <v>30</v>
      </c>
      <c r="B631" s="13" t="s">
        <v>28</v>
      </c>
      <c r="C631" s="13" t="s">
        <v>21</v>
      </c>
      <c r="D631" s="13" t="s">
        <v>11</v>
      </c>
      <c r="E631">
        <v>2</v>
      </c>
      <c r="F631" s="15">
        <v>2400</v>
      </c>
      <c r="G631" s="14">
        <v>602</v>
      </c>
      <c r="H631" s="14">
        <v>85.619047619047706</v>
      </c>
      <c r="I631" s="15">
        <v>1200</v>
      </c>
    </row>
    <row r="632" spans="1:9" x14ac:dyDescent="0.3">
      <c r="A632" s="13" t="s">
        <v>30</v>
      </c>
      <c r="B632" s="13" t="s">
        <v>28</v>
      </c>
      <c r="C632" s="13" t="s">
        <v>20</v>
      </c>
      <c r="D632" s="13" t="s">
        <v>14</v>
      </c>
      <c r="E632">
        <v>4</v>
      </c>
      <c r="F632" s="15">
        <v>3000</v>
      </c>
      <c r="G632" s="14">
        <v>1004</v>
      </c>
      <c r="H632" s="14">
        <v>95.047619047619037</v>
      </c>
      <c r="I632" s="15">
        <v>750</v>
      </c>
    </row>
    <row r="633" spans="1:9" x14ac:dyDescent="0.3">
      <c r="A633" s="13" t="s">
        <v>30</v>
      </c>
      <c r="B633" s="13" t="s">
        <v>28</v>
      </c>
      <c r="C633" s="13" t="s">
        <v>22</v>
      </c>
      <c r="D633" s="13" t="s">
        <v>23</v>
      </c>
      <c r="E633">
        <v>2</v>
      </c>
      <c r="F633" s="15">
        <v>398</v>
      </c>
      <c r="G633" s="14">
        <v>100</v>
      </c>
      <c r="H633" s="14">
        <v>14.190476190476204</v>
      </c>
      <c r="I633" s="15">
        <v>199</v>
      </c>
    </row>
    <row r="634" spans="1:9" x14ac:dyDescent="0.3">
      <c r="A634" s="13" t="s">
        <v>30</v>
      </c>
      <c r="B634" s="13" t="s">
        <v>28</v>
      </c>
      <c r="C634" s="13" t="s">
        <v>21</v>
      </c>
      <c r="D634" s="13" t="s">
        <v>11</v>
      </c>
      <c r="E634">
        <v>2</v>
      </c>
      <c r="F634" s="15">
        <v>2400</v>
      </c>
      <c r="G634" s="14">
        <v>602</v>
      </c>
      <c r="H634" s="14">
        <v>85.619047619047706</v>
      </c>
      <c r="I634" s="15">
        <v>1200</v>
      </c>
    </row>
    <row r="635" spans="1:9" x14ac:dyDescent="0.3">
      <c r="A635" s="13" t="s">
        <v>30</v>
      </c>
      <c r="B635" s="13" t="s">
        <v>28</v>
      </c>
      <c r="C635" s="13" t="s">
        <v>10</v>
      </c>
      <c r="D635" s="13" t="s">
        <v>11</v>
      </c>
      <c r="E635">
        <v>2</v>
      </c>
      <c r="F635" s="15">
        <v>670</v>
      </c>
      <c r="G635" s="14">
        <v>172</v>
      </c>
      <c r="H635" s="14">
        <v>23.714285714285722</v>
      </c>
      <c r="I635" s="15">
        <v>335</v>
      </c>
    </row>
    <row r="636" spans="1:9" x14ac:dyDescent="0.3">
      <c r="A636" s="13" t="s">
        <v>30</v>
      </c>
      <c r="B636" s="13" t="s">
        <v>28</v>
      </c>
      <c r="C636" s="13" t="s">
        <v>12</v>
      </c>
      <c r="D636" s="13" t="s">
        <v>11</v>
      </c>
      <c r="E636">
        <v>4</v>
      </c>
      <c r="F636" s="15">
        <v>2400</v>
      </c>
      <c r="G636" s="14">
        <v>404</v>
      </c>
      <c r="H636" s="14">
        <v>95.047619047619037</v>
      </c>
      <c r="I636" s="15">
        <v>600</v>
      </c>
    </row>
    <row r="637" spans="1:9" x14ac:dyDescent="0.3">
      <c r="A637" s="13" t="s">
        <v>30</v>
      </c>
      <c r="B637" s="13" t="s">
        <v>28</v>
      </c>
      <c r="C637" s="13" t="s">
        <v>13</v>
      </c>
      <c r="D637" s="13" t="s">
        <v>14</v>
      </c>
      <c r="E637">
        <v>4</v>
      </c>
      <c r="F637" s="15">
        <v>1500</v>
      </c>
      <c r="G637" s="14">
        <v>504</v>
      </c>
      <c r="H637" s="14">
        <v>47.428571428571445</v>
      </c>
      <c r="I637" s="15">
        <v>375</v>
      </c>
    </row>
    <row r="638" spans="1:9" x14ac:dyDescent="0.3">
      <c r="A638" s="13" t="s">
        <v>30</v>
      </c>
      <c r="B638" s="13" t="s">
        <v>28</v>
      </c>
      <c r="C638" s="13" t="s">
        <v>18</v>
      </c>
      <c r="D638" s="13" t="s">
        <v>17</v>
      </c>
      <c r="E638">
        <v>2</v>
      </c>
      <c r="F638" s="15">
        <v>1150</v>
      </c>
      <c r="G638" s="14">
        <v>152</v>
      </c>
      <c r="H638" s="14">
        <v>106.92857142857156</v>
      </c>
      <c r="I638" s="15">
        <v>575</v>
      </c>
    </row>
    <row r="639" spans="1:9" x14ac:dyDescent="0.3">
      <c r="A639" s="13" t="s">
        <v>30</v>
      </c>
      <c r="B639" s="13" t="s">
        <v>28</v>
      </c>
      <c r="C639" s="13" t="s">
        <v>12</v>
      </c>
      <c r="D639" s="13" t="s">
        <v>11</v>
      </c>
      <c r="E639">
        <v>12</v>
      </c>
      <c r="F639" s="15">
        <v>7200</v>
      </c>
      <c r="G639" s="14">
        <v>1212</v>
      </c>
      <c r="H639" s="14">
        <v>285.14285714285779</v>
      </c>
      <c r="I639" s="15">
        <v>600</v>
      </c>
    </row>
    <row r="640" spans="1:9" x14ac:dyDescent="0.3">
      <c r="A640" s="13" t="s">
        <v>30</v>
      </c>
      <c r="B640" s="13" t="s">
        <v>28</v>
      </c>
      <c r="C640" s="13" t="s">
        <v>21</v>
      </c>
      <c r="D640" s="13" t="s">
        <v>11</v>
      </c>
      <c r="E640">
        <v>2</v>
      </c>
      <c r="F640" s="15">
        <v>2400</v>
      </c>
      <c r="G640" s="14">
        <v>602</v>
      </c>
      <c r="H640" s="14">
        <v>85.619047619047706</v>
      </c>
      <c r="I640" s="15">
        <v>1200</v>
      </c>
    </row>
    <row r="641" spans="1:9" x14ac:dyDescent="0.3">
      <c r="A641" s="13" t="s">
        <v>30</v>
      </c>
      <c r="B641" s="13" t="s">
        <v>28</v>
      </c>
      <c r="C641" s="13" t="s">
        <v>22</v>
      </c>
      <c r="D641" s="13" t="s">
        <v>23</v>
      </c>
      <c r="E641">
        <v>2</v>
      </c>
      <c r="F641" s="15">
        <v>398</v>
      </c>
      <c r="G641" s="14">
        <v>100</v>
      </c>
      <c r="H641" s="14">
        <v>14.190476190476204</v>
      </c>
      <c r="I641" s="15">
        <v>199</v>
      </c>
    </row>
    <row r="642" spans="1:9" x14ac:dyDescent="0.3">
      <c r="A642" s="13" t="s">
        <v>30</v>
      </c>
      <c r="B642" s="13" t="s">
        <v>28</v>
      </c>
      <c r="C642" s="13" t="s">
        <v>22</v>
      </c>
      <c r="D642" s="13" t="s">
        <v>23</v>
      </c>
      <c r="E642">
        <v>2</v>
      </c>
      <c r="F642" s="15">
        <v>398</v>
      </c>
      <c r="G642" s="14">
        <v>100</v>
      </c>
      <c r="H642" s="14">
        <v>14.190476190476204</v>
      </c>
      <c r="I642" s="15">
        <v>199</v>
      </c>
    </row>
    <row r="643" spans="1:9" x14ac:dyDescent="0.3">
      <c r="A643" s="13" t="s">
        <v>30</v>
      </c>
      <c r="B643" s="13" t="s">
        <v>28</v>
      </c>
      <c r="C643" s="13" t="s">
        <v>12</v>
      </c>
      <c r="D643" s="13" t="s">
        <v>11</v>
      </c>
      <c r="E643">
        <v>2</v>
      </c>
      <c r="F643" s="15">
        <v>1200</v>
      </c>
      <c r="G643" s="14">
        <v>202</v>
      </c>
      <c r="H643" s="14">
        <v>47.523809523809518</v>
      </c>
      <c r="I643" s="15">
        <v>600</v>
      </c>
    </row>
    <row r="644" spans="1:9" x14ac:dyDescent="0.3">
      <c r="A644" s="13" t="s">
        <v>30</v>
      </c>
      <c r="B644" s="13" t="s">
        <v>28</v>
      </c>
      <c r="C644" s="13" t="s">
        <v>21</v>
      </c>
      <c r="D644" s="13" t="s">
        <v>11</v>
      </c>
      <c r="E644">
        <v>2</v>
      </c>
      <c r="F644" s="15">
        <v>2400</v>
      </c>
      <c r="G644" s="14">
        <v>602</v>
      </c>
      <c r="H644" s="14">
        <v>85.619047619047706</v>
      </c>
      <c r="I644" s="15">
        <v>1200</v>
      </c>
    </row>
    <row r="645" spans="1:9" x14ac:dyDescent="0.3">
      <c r="A645" s="13" t="s">
        <v>30</v>
      </c>
      <c r="B645" s="13" t="s">
        <v>28</v>
      </c>
      <c r="C645" s="13" t="s">
        <v>22</v>
      </c>
      <c r="D645" s="13" t="s">
        <v>23</v>
      </c>
      <c r="E645">
        <v>2</v>
      </c>
      <c r="F645" s="15">
        <v>398</v>
      </c>
      <c r="G645" s="14">
        <v>100</v>
      </c>
      <c r="H645" s="14">
        <v>14.190476190476204</v>
      </c>
      <c r="I645" s="15">
        <v>199</v>
      </c>
    </row>
    <row r="646" spans="1:9" x14ac:dyDescent="0.3">
      <c r="A646" s="13" t="s">
        <v>30</v>
      </c>
      <c r="B646" s="13" t="s">
        <v>28</v>
      </c>
      <c r="C646" s="13" t="s">
        <v>12</v>
      </c>
      <c r="D646" s="13" t="s">
        <v>11</v>
      </c>
      <c r="E646">
        <v>2</v>
      </c>
      <c r="F646" s="15">
        <v>1200</v>
      </c>
      <c r="G646" s="14">
        <v>202</v>
      </c>
      <c r="H646" s="14">
        <v>47.523809523809518</v>
      </c>
      <c r="I646" s="15">
        <v>600</v>
      </c>
    </row>
    <row r="647" spans="1:9" x14ac:dyDescent="0.3">
      <c r="A647" s="13" t="s">
        <v>30</v>
      </c>
      <c r="B647" s="13" t="s">
        <v>28</v>
      </c>
      <c r="C647" s="13" t="s">
        <v>21</v>
      </c>
      <c r="D647" s="13" t="s">
        <v>11</v>
      </c>
      <c r="E647">
        <v>2</v>
      </c>
      <c r="F647" s="15">
        <v>2400</v>
      </c>
      <c r="G647" s="14">
        <v>602</v>
      </c>
      <c r="H647" s="14">
        <v>85.619047619047706</v>
      </c>
      <c r="I647" s="15">
        <v>1200</v>
      </c>
    </row>
    <row r="648" spans="1:9" x14ac:dyDescent="0.3">
      <c r="A648" s="13" t="s">
        <v>30</v>
      </c>
      <c r="B648" s="13" t="s">
        <v>28</v>
      </c>
      <c r="C648" s="13" t="s">
        <v>24</v>
      </c>
      <c r="D648" s="13" t="s">
        <v>23</v>
      </c>
      <c r="E648">
        <v>4</v>
      </c>
      <c r="F648" s="15">
        <v>1800</v>
      </c>
      <c r="G648" s="14">
        <v>404</v>
      </c>
      <c r="H648" s="14">
        <v>66.476190476190595</v>
      </c>
      <c r="I648" s="15">
        <v>450</v>
      </c>
    </row>
    <row r="649" spans="1:9" x14ac:dyDescent="0.3">
      <c r="A649" s="13" t="s">
        <v>30</v>
      </c>
      <c r="B649" s="13" t="s">
        <v>28</v>
      </c>
      <c r="C649" s="13" t="s">
        <v>22</v>
      </c>
      <c r="D649" s="13" t="s">
        <v>23</v>
      </c>
      <c r="E649">
        <v>2</v>
      </c>
      <c r="F649" s="15">
        <v>398</v>
      </c>
      <c r="G649" s="14">
        <v>100</v>
      </c>
      <c r="H649" s="14">
        <v>14.190476190476204</v>
      </c>
      <c r="I649" s="15">
        <v>199</v>
      </c>
    </row>
    <row r="650" spans="1:9" x14ac:dyDescent="0.3">
      <c r="A650" s="13" t="s">
        <v>30</v>
      </c>
      <c r="B650" s="13" t="s">
        <v>28</v>
      </c>
      <c r="C650" s="13" t="s">
        <v>12</v>
      </c>
      <c r="D650" s="13" t="s">
        <v>11</v>
      </c>
      <c r="E650">
        <v>2</v>
      </c>
      <c r="F650" s="15">
        <v>1200</v>
      </c>
      <c r="G650" s="14">
        <v>202</v>
      </c>
      <c r="H650" s="14">
        <v>47.523809523809518</v>
      </c>
      <c r="I650" s="15">
        <v>600</v>
      </c>
    </row>
    <row r="651" spans="1:9" x14ac:dyDescent="0.3">
      <c r="A651" s="13" t="s">
        <v>30</v>
      </c>
      <c r="B651" s="13" t="s">
        <v>28</v>
      </c>
      <c r="C651" s="13" t="s">
        <v>12</v>
      </c>
      <c r="D651" s="13" t="s">
        <v>11</v>
      </c>
      <c r="E651">
        <v>2</v>
      </c>
      <c r="F651" s="15">
        <v>1200</v>
      </c>
      <c r="G651" s="14">
        <v>202</v>
      </c>
      <c r="H651" s="14">
        <v>47.523809523809518</v>
      </c>
      <c r="I651" s="15">
        <v>600</v>
      </c>
    </row>
    <row r="652" spans="1:9" x14ac:dyDescent="0.3">
      <c r="A652" s="13" t="s">
        <v>30</v>
      </c>
      <c r="B652" s="13" t="s">
        <v>28</v>
      </c>
      <c r="C652" s="13" t="s">
        <v>22</v>
      </c>
      <c r="D652" s="13" t="s">
        <v>23</v>
      </c>
      <c r="E652">
        <v>2</v>
      </c>
      <c r="F652" s="15">
        <v>398</v>
      </c>
      <c r="G652" s="14">
        <v>100</v>
      </c>
      <c r="H652" s="14">
        <v>14.190476190476204</v>
      </c>
      <c r="I652" s="15">
        <v>199</v>
      </c>
    </row>
    <row r="653" spans="1:9" x14ac:dyDescent="0.3">
      <c r="A653" s="13" t="s">
        <v>30</v>
      </c>
      <c r="B653" s="13" t="s">
        <v>28</v>
      </c>
      <c r="C653" s="13" t="s">
        <v>22</v>
      </c>
      <c r="D653" s="13" t="s">
        <v>23</v>
      </c>
      <c r="E653">
        <v>4</v>
      </c>
      <c r="F653" s="15">
        <v>796</v>
      </c>
      <c r="G653" s="14">
        <v>200</v>
      </c>
      <c r="H653" s="14">
        <v>28.380952380952408</v>
      </c>
      <c r="I653" s="15">
        <v>199</v>
      </c>
    </row>
    <row r="654" spans="1:9" x14ac:dyDescent="0.3">
      <c r="A654" s="13" t="s">
        <v>30</v>
      </c>
      <c r="B654" s="13" t="s">
        <v>28</v>
      </c>
      <c r="C654" s="13" t="s">
        <v>22</v>
      </c>
      <c r="D654" s="13" t="s">
        <v>23</v>
      </c>
      <c r="E654">
        <v>2</v>
      </c>
      <c r="F654" s="15">
        <v>398</v>
      </c>
      <c r="G654" s="14">
        <v>100</v>
      </c>
      <c r="H654" s="14">
        <v>14.190476190476204</v>
      </c>
      <c r="I654" s="15">
        <v>199</v>
      </c>
    </row>
    <row r="655" spans="1:9" x14ac:dyDescent="0.3">
      <c r="A655" s="13" t="s">
        <v>30</v>
      </c>
      <c r="B655" s="13" t="s">
        <v>28</v>
      </c>
      <c r="C655" s="13" t="s">
        <v>12</v>
      </c>
      <c r="D655" s="13" t="s">
        <v>11</v>
      </c>
      <c r="E655">
        <v>2</v>
      </c>
      <c r="F655" s="15">
        <v>1200</v>
      </c>
      <c r="G655" s="14">
        <v>202</v>
      </c>
      <c r="H655" s="14">
        <v>47.523809523809518</v>
      </c>
      <c r="I655" s="15">
        <v>600</v>
      </c>
    </row>
    <row r="656" spans="1:9" x14ac:dyDescent="0.3">
      <c r="A656" s="13" t="s">
        <v>30</v>
      </c>
      <c r="B656" s="13" t="s">
        <v>28</v>
      </c>
      <c r="C656" s="13" t="s">
        <v>12</v>
      </c>
      <c r="D656" s="13" t="s">
        <v>11</v>
      </c>
      <c r="E656">
        <v>2</v>
      </c>
      <c r="F656" s="15">
        <v>1200</v>
      </c>
      <c r="G656" s="14">
        <v>202</v>
      </c>
      <c r="H656" s="14">
        <v>47.523809523809518</v>
      </c>
      <c r="I656" s="15">
        <v>600</v>
      </c>
    </row>
    <row r="657" spans="1:9" x14ac:dyDescent="0.3">
      <c r="A657" s="13" t="s">
        <v>30</v>
      </c>
      <c r="B657" s="13" t="s">
        <v>28</v>
      </c>
      <c r="C657" s="13" t="s">
        <v>10</v>
      </c>
      <c r="D657" s="13" t="s">
        <v>11</v>
      </c>
      <c r="E657">
        <v>2</v>
      </c>
      <c r="F657" s="15">
        <v>670</v>
      </c>
      <c r="G657" s="14">
        <v>172</v>
      </c>
      <c r="H657" s="14">
        <v>23.714285714285722</v>
      </c>
      <c r="I657" s="15">
        <v>335</v>
      </c>
    </row>
    <row r="658" spans="1:9" x14ac:dyDescent="0.3">
      <c r="A658" s="13" t="s">
        <v>30</v>
      </c>
      <c r="B658" s="13" t="s">
        <v>28</v>
      </c>
      <c r="C658" s="13" t="s">
        <v>22</v>
      </c>
      <c r="D658" s="13" t="s">
        <v>23</v>
      </c>
      <c r="E658">
        <v>4</v>
      </c>
      <c r="F658" s="15">
        <v>796</v>
      </c>
      <c r="G658" s="14">
        <v>200</v>
      </c>
      <c r="H658" s="14">
        <v>28.380952380952408</v>
      </c>
      <c r="I658" s="15">
        <v>199</v>
      </c>
    </row>
    <row r="659" spans="1:9" x14ac:dyDescent="0.3">
      <c r="A659" s="13" t="s">
        <v>30</v>
      </c>
      <c r="B659" s="13" t="s">
        <v>28</v>
      </c>
      <c r="C659" s="13" t="s">
        <v>18</v>
      </c>
      <c r="D659" s="13" t="s">
        <v>17</v>
      </c>
      <c r="E659">
        <v>2</v>
      </c>
      <c r="F659" s="15">
        <v>1150</v>
      </c>
      <c r="G659" s="14">
        <v>152</v>
      </c>
      <c r="H659" s="14">
        <v>106.92857142857156</v>
      </c>
      <c r="I659" s="15">
        <v>575</v>
      </c>
    </row>
    <row r="660" spans="1:9" x14ac:dyDescent="0.3">
      <c r="A660" s="13" t="s">
        <v>30</v>
      </c>
      <c r="B660" s="13" t="s">
        <v>28</v>
      </c>
      <c r="C660" s="13" t="s">
        <v>21</v>
      </c>
      <c r="D660" s="13" t="s">
        <v>11</v>
      </c>
      <c r="E660">
        <v>2</v>
      </c>
      <c r="F660" s="15">
        <v>2400</v>
      </c>
      <c r="G660" s="14">
        <v>602</v>
      </c>
      <c r="H660" s="14">
        <v>85.619047619047706</v>
      </c>
      <c r="I660" s="15">
        <v>1200</v>
      </c>
    </row>
    <row r="661" spans="1:9" x14ac:dyDescent="0.3">
      <c r="A661" s="13" t="s">
        <v>30</v>
      </c>
      <c r="B661" s="13" t="s">
        <v>28</v>
      </c>
      <c r="C661" s="13" t="s">
        <v>13</v>
      </c>
      <c r="D661" s="13" t="s">
        <v>14</v>
      </c>
      <c r="E661">
        <v>2</v>
      </c>
      <c r="F661" s="15">
        <v>750</v>
      </c>
      <c r="G661" s="14">
        <v>252</v>
      </c>
      <c r="H661" s="14">
        <v>23.714285714285722</v>
      </c>
      <c r="I661" s="15">
        <v>375</v>
      </c>
    </row>
    <row r="662" spans="1:9" x14ac:dyDescent="0.3">
      <c r="A662" s="13" t="s">
        <v>30</v>
      </c>
      <c r="B662" s="13" t="s">
        <v>28</v>
      </c>
      <c r="C662" s="13" t="s">
        <v>12</v>
      </c>
      <c r="D662" s="13" t="s">
        <v>11</v>
      </c>
      <c r="E662">
        <v>4</v>
      </c>
      <c r="F662" s="15">
        <v>2400</v>
      </c>
      <c r="G662" s="14">
        <v>404</v>
      </c>
      <c r="H662" s="14">
        <v>95.047619047619037</v>
      </c>
      <c r="I662" s="15">
        <v>600</v>
      </c>
    </row>
    <row r="663" spans="1:9" x14ac:dyDescent="0.3">
      <c r="A663" s="13" t="s">
        <v>30</v>
      </c>
      <c r="B663" s="13" t="s">
        <v>28</v>
      </c>
      <c r="C663" s="13" t="s">
        <v>13</v>
      </c>
      <c r="D663" s="13" t="s">
        <v>14</v>
      </c>
      <c r="E663">
        <v>2</v>
      </c>
      <c r="F663" s="15">
        <v>750</v>
      </c>
      <c r="G663" s="14">
        <v>252</v>
      </c>
      <c r="H663" s="14">
        <v>23.714285714285722</v>
      </c>
      <c r="I663" s="15">
        <v>375</v>
      </c>
    </row>
    <row r="664" spans="1:9" x14ac:dyDescent="0.3">
      <c r="A664" s="13" t="s">
        <v>30</v>
      </c>
      <c r="B664" s="13" t="s">
        <v>28</v>
      </c>
      <c r="C664" s="13" t="s">
        <v>22</v>
      </c>
      <c r="D664" s="13" t="s">
        <v>23</v>
      </c>
      <c r="E664">
        <v>2</v>
      </c>
      <c r="F664" s="15">
        <v>398</v>
      </c>
      <c r="G664" s="14">
        <v>100</v>
      </c>
      <c r="H664" s="14">
        <v>14.190476190476204</v>
      </c>
      <c r="I664" s="15">
        <v>199</v>
      </c>
    </row>
    <row r="665" spans="1:9" x14ac:dyDescent="0.3">
      <c r="A665" s="13" t="s">
        <v>30</v>
      </c>
      <c r="B665" s="13" t="s">
        <v>28</v>
      </c>
      <c r="C665" s="13" t="s">
        <v>21</v>
      </c>
      <c r="D665" s="13" t="s">
        <v>11</v>
      </c>
      <c r="E665">
        <v>2</v>
      </c>
      <c r="F665" s="15">
        <v>2400</v>
      </c>
      <c r="G665" s="14">
        <v>602</v>
      </c>
      <c r="H665" s="14">
        <v>85.619047619047706</v>
      </c>
      <c r="I665" s="15">
        <v>1200</v>
      </c>
    </row>
    <row r="666" spans="1:9" x14ac:dyDescent="0.3">
      <c r="A666" s="13" t="s">
        <v>30</v>
      </c>
      <c r="B666" s="13" t="s">
        <v>28</v>
      </c>
      <c r="C666" s="13" t="s">
        <v>24</v>
      </c>
      <c r="D666" s="13" t="s">
        <v>23</v>
      </c>
      <c r="E666">
        <v>2</v>
      </c>
      <c r="F666" s="15">
        <v>900</v>
      </c>
      <c r="G666" s="14">
        <v>202</v>
      </c>
      <c r="H666" s="14">
        <v>33.238095238095298</v>
      </c>
      <c r="I666" s="15">
        <v>450</v>
      </c>
    </row>
    <row r="667" spans="1:9" x14ac:dyDescent="0.3">
      <c r="A667" s="13" t="s">
        <v>30</v>
      </c>
      <c r="B667" s="13" t="s">
        <v>28</v>
      </c>
      <c r="C667" s="13" t="s">
        <v>13</v>
      </c>
      <c r="D667" s="13" t="s">
        <v>14</v>
      </c>
      <c r="E667">
        <v>2</v>
      </c>
      <c r="F667" s="15">
        <v>750</v>
      </c>
      <c r="G667" s="14">
        <v>252</v>
      </c>
      <c r="H667" s="14">
        <v>23.714285714285722</v>
      </c>
      <c r="I667" s="15">
        <v>375</v>
      </c>
    </row>
    <row r="668" spans="1:9" x14ac:dyDescent="0.3">
      <c r="A668" s="13" t="s">
        <v>30</v>
      </c>
      <c r="B668" s="13" t="s">
        <v>28</v>
      </c>
      <c r="C668" s="13" t="s">
        <v>12</v>
      </c>
      <c r="D668" s="13" t="s">
        <v>11</v>
      </c>
      <c r="E668">
        <v>2</v>
      </c>
      <c r="F668" s="15">
        <v>1200</v>
      </c>
      <c r="G668" s="14">
        <v>202</v>
      </c>
      <c r="H668" s="14">
        <v>47.523809523809518</v>
      </c>
      <c r="I668" s="15">
        <v>600</v>
      </c>
    </row>
    <row r="669" spans="1:9" x14ac:dyDescent="0.3">
      <c r="A669" s="13" t="s">
        <v>30</v>
      </c>
      <c r="B669" s="13" t="s">
        <v>28</v>
      </c>
      <c r="C669" s="13" t="s">
        <v>22</v>
      </c>
      <c r="D669" s="13" t="s">
        <v>23</v>
      </c>
      <c r="E669">
        <v>2</v>
      </c>
      <c r="F669" s="15">
        <v>398</v>
      </c>
      <c r="G669" s="14">
        <v>100</v>
      </c>
      <c r="H669" s="14">
        <v>14.190476190476204</v>
      </c>
      <c r="I669" s="15">
        <v>199</v>
      </c>
    </row>
    <row r="670" spans="1:9" x14ac:dyDescent="0.3">
      <c r="A670" s="13" t="s">
        <v>30</v>
      </c>
      <c r="B670" s="13" t="s">
        <v>28</v>
      </c>
      <c r="C670" s="13" t="s">
        <v>12</v>
      </c>
      <c r="D670" s="13" t="s">
        <v>11</v>
      </c>
      <c r="E670">
        <v>4</v>
      </c>
      <c r="F670" s="15">
        <v>2400</v>
      </c>
      <c r="G670" s="14">
        <v>2070</v>
      </c>
      <c r="H670" s="14">
        <v>15.714285714285722</v>
      </c>
      <c r="I670" s="15">
        <v>600</v>
      </c>
    </row>
    <row r="671" spans="1:9" x14ac:dyDescent="0.3">
      <c r="A671" s="13" t="s">
        <v>30</v>
      </c>
      <c r="B671" s="13" t="s">
        <v>9</v>
      </c>
      <c r="C671" s="13" t="s">
        <v>15</v>
      </c>
      <c r="D671" s="13" t="s">
        <v>14</v>
      </c>
      <c r="E671">
        <v>2</v>
      </c>
      <c r="F671" s="15">
        <v>330</v>
      </c>
      <c r="G671" s="14">
        <v>32</v>
      </c>
      <c r="H671" s="14">
        <v>14.190476190476204</v>
      </c>
      <c r="I671" s="15">
        <v>165</v>
      </c>
    </row>
    <row r="672" spans="1:9" x14ac:dyDescent="0.3">
      <c r="A672" s="13" t="s">
        <v>30</v>
      </c>
      <c r="B672" s="13" t="s">
        <v>9</v>
      </c>
      <c r="C672" s="13" t="s">
        <v>12</v>
      </c>
      <c r="D672" s="13" t="s">
        <v>11</v>
      </c>
      <c r="E672">
        <v>2</v>
      </c>
      <c r="F672" s="15">
        <v>1200</v>
      </c>
      <c r="G672" s="14">
        <v>202</v>
      </c>
      <c r="H672" s="14">
        <v>47.523809523809518</v>
      </c>
      <c r="I672" s="15">
        <v>600</v>
      </c>
    </row>
    <row r="673" spans="1:9" x14ac:dyDescent="0.3">
      <c r="A673" s="13" t="s">
        <v>30</v>
      </c>
      <c r="B673" s="13" t="s">
        <v>9</v>
      </c>
      <c r="C673" s="13" t="s">
        <v>21</v>
      </c>
      <c r="D673" s="13" t="s">
        <v>11</v>
      </c>
      <c r="E673">
        <v>2</v>
      </c>
      <c r="F673" s="15">
        <v>2400</v>
      </c>
      <c r="G673" s="14">
        <v>602</v>
      </c>
      <c r="H673" s="14">
        <v>85.619047619047706</v>
      </c>
      <c r="I673" s="15">
        <v>1200</v>
      </c>
    </row>
    <row r="674" spans="1:9" x14ac:dyDescent="0.3">
      <c r="A674" s="13" t="s">
        <v>30</v>
      </c>
      <c r="B674" s="13" t="s">
        <v>9</v>
      </c>
      <c r="C674" s="13" t="s">
        <v>22</v>
      </c>
      <c r="D674" s="13" t="s">
        <v>23</v>
      </c>
      <c r="E674">
        <v>4</v>
      </c>
      <c r="F674" s="15">
        <v>796</v>
      </c>
      <c r="G674" s="14">
        <v>200</v>
      </c>
      <c r="H674" s="14">
        <v>28.380952380952408</v>
      </c>
      <c r="I674" s="15">
        <v>199</v>
      </c>
    </row>
    <row r="675" spans="1:9" x14ac:dyDescent="0.3">
      <c r="A675" s="13" t="s">
        <v>30</v>
      </c>
      <c r="B675" s="13" t="s">
        <v>9</v>
      </c>
      <c r="C675" s="13" t="s">
        <v>22</v>
      </c>
      <c r="D675" s="13" t="s">
        <v>23</v>
      </c>
      <c r="E675">
        <v>2</v>
      </c>
      <c r="F675" s="15">
        <v>398</v>
      </c>
      <c r="G675" s="14">
        <v>100</v>
      </c>
      <c r="H675" s="14">
        <v>14.190476190476204</v>
      </c>
      <c r="I675" s="15">
        <v>199</v>
      </c>
    </row>
    <row r="676" spans="1:9" x14ac:dyDescent="0.3">
      <c r="A676" s="13" t="s">
        <v>30</v>
      </c>
      <c r="B676" s="13" t="s">
        <v>9</v>
      </c>
      <c r="C676" s="13" t="s">
        <v>21</v>
      </c>
      <c r="D676" s="13" t="s">
        <v>11</v>
      </c>
      <c r="E676">
        <v>4</v>
      </c>
      <c r="F676" s="15">
        <v>4800</v>
      </c>
      <c r="G676" s="14">
        <v>1204</v>
      </c>
      <c r="H676" s="14">
        <v>171.23809523809541</v>
      </c>
      <c r="I676" s="15">
        <v>1200</v>
      </c>
    </row>
    <row r="677" spans="1:9" x14ac:dyDescent="0.3">
      <c r="A677" s="13" t="s">
        <v>30</v>
      </c>
      <c r="B677" s="13" t="s">
        <v>9</v>
      </c>
      <c r="C677" s="13" t="s">
        <v>20</v>
      </c>
      <c r="D677" s="13" t="s">
        <v>14</v>
      </c>
      <c r="E677">
        <v>2</v>
      </c>
      <c r="F677" s="15">
        <v>1500</v>
      </c>
      <c r="G677" s="14">
        <v>502</v>
      </c>
      <c r="H677" s="14">
        <v>47.523809523809518</v>
      </c>
      <c r="I677" s="15">
        <v>750</v>
      </c>
    </row>
    <row r="678" spans="1:9" x14ac:dyDescent="0.3">
      <c r="A678" s="13" t="s">
        <v>30</v>
      </c>
      <c r="B678" s="13" t="s">
        <v>9</v>
      </c>
      <c r="C678" s="13" t="s">
        <v>13</v>
      </c>
      <c r="D678" s="13" t="s">
        <v>14</v>
      </c>
      <c r="E678">
        <v>2</v>
      </c>
      <c r="F678" s="15">
        <v>750</v>
      </c>
      <c r="G678" s="14">
        <v>252</v>
      </c>
      <c r="H678" s="14">
        <v>23.714285714285722</v>
      </c>
      <c r="I678" s="15">
        <v>375</v>
      </c>
    </row>
    <row r="679" spans="1:9" x14ac:dyDescent="0.3">
      <c r="A679" s="13" t="s">
        <v>30</v>
      </c>
      <c r="B679" s="13" t="s">
        <v>9</v>
      </c>
      <c r="C679" s="13" t="s">
        <v>18</v>
      </c>
      <c r="D679" s="13" t="s">
        <v>17</v>
      </c>
      <c r="E679">
        <v>4</v>
      </c>
      <c r="F679" s="15">
        <v>2300</v>
      </c>
      <c r="G679" s="14">
        <v>1996</v>
      </c>
      <c r="H679" s="14">
        <v>32.571428571428612</v>
      </c>
      <c r="I679" s="15">
        <v>575</v>
      </c>
    </row>
    <row r="680" spans="1:9" x14ac:dyDescent="0.3">
      <c r="A680" s="13" t="s">
        <v>30</v>
      </c>
      <c r="B680" s="13" t="s">
        <v>9</v>
      </c>
      <c r="C680" s="13" t="s">
        <v>22</v>
      </c>
      <c r="D680" s="13" t="s">
        <v>23</v>
      </c>
      <c r="E680">
        <v>2</v>
      </c>
      <c r="F680" s="15">
        <v>398</v>
      </c>
      <c r="G680" s="14">
        <v>100</v>
      </c>
      <c r="H680" s="14">
        <v>14.190476190476204</v>
      </c>
      <c r="I680" s="15">
        <v>199</v>
      </c>
    </row>
    <row r="681" spans="1:9" x14ac:dyDescent="0.3">
      <c r="A681" s="13" t="s">
        <v>30</v>
      </c>
      <c r="B681" s="13" t="s">
        <v>9</v>
      </c>
      <c r="C681" s="13" t="s">
        <v>12</v>
      </c>
      <c r="D681" s="13" t="s">
        <v>11</v>
      </c>
      <c r="E681">
        <v>4</v>
      </c>
      <c r="F681" s="15">
        <v>2400</v>
      </c>
      <c r="G681" s="14">
        <v>404</v>
      </c>
      <c r="H681" s="14">
        <v>95.047619047619037</v>
      </c>
      <c r="I681" s="15">
        <v>600</v>
      </c>
    </row>
    <row r="682" spans="1:9" x14ac:dyDescent="0.3">
      <c r="A682" s="13" t="s">
        <v>30</v>
      </c>
      <c r="B682" s="13" t="s">
        <v>9</v>
      </c>
      <c r="C682" s="13" t="s">
        <v>19</v>
      </c>
      <c r="D682" s="13" t="s">
        <v>17</v>
      </c>
      <c r="E682">
        <v>2</v>
      </c>
      <c r="F682" s="15">
        <v>2300</v>
      </c>
      <c r="G682" s="14">
        <v>3632</v>
      </c>
      <c r="H682" s="14">
        <v>-142.71428571428578</v>
      </c>
      <c r="I682" s="15">
        <v>1150</v>
      </c>
    </row>
    <row r="683" spans="1:9" x14ac:dyDescent="0.3">
      <c r="A683" s="13" t="s">
        <v>31</v>
      </c>
      <c r="B683" s="13" t="s">
        <v>28</v>
      </c>
      <c r="C683" s="13" t="s">
        <v>16</v>
      </c>
      <c r="D683" s="13" t="s">
        <v>17</v>
      </c>
      <c r="E683">
        <v>174</v>
      </c>
      <c r="F683" s="15">
        <v>52026</v>
      </c>
      <c r="G683" s="14">
        <v>2601.3000000000002</v>
      </c>
      <c r="H683" s="14">
        <v>3065.817857142858</v>
      </c>
      <c r="I683" s="15">
        <v>299</v>
      </c>
    </row>
    <row r="684" spans="1:9" x14ac:dyDescent="0.3">
      <c r="A684" s="13" t="s">
        <v>31</v>
      </c>
      <c r="B684" s="13" t="s">
        <v>28</v>
      </c>
      <c r="C684" s="13" t="s">
        <v>10</v>
      </c>
      <c r="D684" s="13" t="s">
        <v>11</v>
      </c>
      <c r="E684">
        <v>376</v>
      </c>
      <c r="F684" s="15">
        <v>125960</v>
      </c>
      <c r="G684" s="14">
        <v>6298</v>
      </c>
      <c r="H684" s="14">
        <v>6612.9000000000087</v>
      </c>
      <c r="I684" s="15">
        <v>335</v>
      </c>
    </row>
    <row r="685" spans="1:9" x14ac:dyDescent="0.3">
      <c r="A685" s="13" t="s">
        <v>31</v>
      </c>
      <c r="B685" s="13" t="s">
        <v>28</v>
      </c>
      <c r="C685" s="13" t="s">
        <v>16</v>
      </c>
      <c r="D685" s="13" t="s">
        <v>17</v>
      </c>
      <c r="E685">
        <v>210</v>
      </c>
      <c r="F685" s="15">
        <v>62790</v>
      </c>
      <c r="G685" s="14">
        <v>3139.5</v>
      </c>
      <c r="H685" s="14">
        <v>3700.1250000000036</v>
      </c>
      <c r="I685" s="15">
        <v>299</v>
      </c>
    </row>
    <row r="686" spans="1:9" x14ac:dyDescent="0.3">
      <c r="A686" s="13" t="s">
        <v>31</v>
      </c>
      <c r="B686" s="13" t="s">
        <v>28</v>
      </c>
      <c r="C686" s="13" t="s">
        <v>10</v>
      </c>
      <c r="D686" s="13" t="s">
        <v>11</v>
      </c>
      <c r="E686">
        <v>266</v>
      </c>
      <c r="F686" s="15">
        <v>89110</v>
      </c>
      <c r="G686" s="14">
        <v>4455.5</v>
      </c>
      <c r="H686" s="14">
        <v>4678.2750000000015</v>
      </c>
      <c r="I686" s="15">
        <v>335</v>
      </c>
    </row>
    <row r="687" spans="1:9" x14ac:dyDescent="0.3">
      <c r="A687" s="13" t="s">
        <v>31</v>
      </c>
      <c r="B687" s="13" t="s">
        <v>28</v>
      </c>
      <c r="C687" s="13" t="s">
        <v>16</v>
      </c>
      <c r="D687" s="13" t="s">
        <v>17</v>
      </c>
      <c r="E687">
        <v>126</v>
      </c>
      <c r="F687" s="15">
        <v>37674</v>
      </c>
      <c r="G687" s="14">
        <v>1883.7</v>
      </c>
      <c r="H687" s="14">
        <v>2220.0750000000007</v>
      </c>
      <c r="I687" s="15">
        <v>299</v>
      </c>
    </row>
    <row r="688" spans="1:9" x14ac:dyDescent="0.3">
      <c r="A688" s="13" t="s">
        <v>31</v>
      </c>
      <c r="B688" s="13" t="s">
        <v>28</v>
      </c>
      <c r="C688" s="13" t="s">
        <v>10</v>
      </c>
      <c r="D688" s="13" t="s">
        <v>11</v>
      </c>
      <c r="E688">
        <v>202</v>
      </c>
      <c r="F688" s="15">
        <v>67670</v>
      </c>
      <c r="G688" s="14">
        <v>3383.5</v>
      </c>
      <c r="H688" s="14">
        <v>3552.6750000000029</v>
      </c>
      <c r="I688" s="15">
        <v>335</v>
      </c>
    </row>
    <row r="689" spans="1:9" x14ac:dyDescent="0.3">
      <c r="A689" s="13" t="s">
        <v>31</v>
      </c>
      <c r="B689" s="13" t="s">
        <v>28</v>
      </c>
      <c r="C689" s="13" t="s">
        <v>16</v>
      </c>
      <c r="D689" s="13" t="s">
        <v>17</v>
      </c>
      <c r="E689">
        <v>124</v>
      </c>
      <c r="F689" s="15">
        <v>37076</v>
      </c>
      <c r="G689" s="14">
        <v>1853.8000000000002</v>
      </c>
      <c r="H689" s="14">
        <v>2184.8357142857167</v>
      </c>
      <c r="I689" s="15">
        <v>299</v>
      </c>
    </row>
    <row r="690" spans="1:9" x14ac:dyDescent="0.3">
      <c r="A690" s="13" t="s">
        <v>31</v>
      </c>
      <c r="B690" s="13" t="s">
        <v>28</v>
      </c>
      <c r="C690" s="13" t="s">
        <v>10</v>
      </c>
      <c r="D690" s="13" t="s">
        <v>11</v>
      </c>
      <c r="E690">
        <v>222</v>
      </c>
      <c r="F690" s="15">
        <v>74370</v>
      </c>
      <c r="G690" s="14">
        <v>3718.5</v>
      </c>
      <c r="H690" s="14">
        <v>3904.4250000000029</v>
      </c>
      <c r="I690" s="15">
        <v>335</v>
      </c>
    </row>
    <row r="691" spans="1:9" x14ac:dyDescent="0.3">
      <c r="A691" s="13" t="s">
        <v>31</v>
      </c>
      <c r="B691" s="13" t="s">
        <v>28</v>
      </c>
      <c r="C691" s="13" t="s">
        <v>16</v>
      </c>
      <c r="D691" s="13" t="s">
        <v>17</v>
      </c>
      <c r="E691">
        <v>142</v>
      </c>
      <c r="F691" s="15">
        <v>42458</v>
      </c>
      <c r="G691" s="14">
        <v>2122.9</v>
      </c>
      <c r="H691" s="14">
        <v>2501.9892857142877</v>
      </c>
      <c r="I691" s="15">
        <v>299</v>
      </c>
    </row>
    <row r="692" spans="1:9" x14ac:dyDescent="0.3">
      <c r="A692" s="13" t="s">
        <v>31</v>
      </c>
      <c r="B692" s="13" t="s">
        <v>28</v>
      </c>
      <c r="C692" s="13" t="s">
        <v>10</v>
      </c>
      <c r="D692" s="13" t="s">
        <v>11</v>
      </c>
      <c r="E692">
        <v>180</v>
      </c>
      <c r="F692" s="15">
        <v>60300</v>
      </c>
      <c r="G692" s="14">
        <v>3015</v>
      </c>
      <c r="H692" s="14">
        <v>3165.7500000000036</v>
      </c>
      <c r="I692" s="15">
        <v>335</v>
      </c>
    </row>
    <row r="693" spans="1:9" x14ac:dyDescent="0.3">
      <c r="A693" s="13" t="s">
        <v>31</v>
      </c>
      <c r="B693" s="13" t="s">
        <v>28</v>
      </c>
      <c r="C693" s="13" t="s">
        <v>16</v>
      </c>
      <c r="D693" s="13" t="s">
        <v>17</v>
      </c>
      <c r="E693">
        <v>146</v>
      </c>
      <c r="F693" s="15">
        <v>43654</v>
      </c>
      <c r="G693" s="14">
        <v>2182.7000000000003</v>
      </c>
      <c r="H693" s="14">
        <v>2572.4678571428594</v>
      </c>
      <c r="I693" s="15">
        <v>299</v>
      </c>
    </row>
    <row r="694" spans="1:9" x14ac:dyDescent="0.3">
      <c r="A694" s="13" t="s">
        <v>31</v>
      </c>
      <c r="B694" s="13" t="s">
        <v>28</v>
      </c>
      <c r="C694" s="13" t="s">
        <v>10</v>
      </c>
      <c r="D694" s="13" t="s">
        <v>11</v>
      </c>
      <c r="E694">
        <v>236</v>
      </c>
      <c r="F694" s="15">
        <v>79060</v>
      </c>
      <c r="G694" s="14">
        <v>3953</v>
      </c>
      <c r="H694" s="14">
        <v>4150.6500000000015</v>
      </c>
      <c r="I694" s="15">
        <v>335</v>
      </c>
    </row>
    <row r="695" spans="1:9" x14ac:dyDescent="0.3">
      <c r="A695" s="13" t="s">
        <v>31</v>
      </c>
      <c r="B695" s="13" t="s">
        <v>28</v>
      </c>
      <c r="C695" s="13" t="s">
        <v>16</v>
      </c>
      <c r="D695" s="13" t="s">
        <v>17</v>
      </c>
      <c r="E695">
        <v>194</v>
      </c>
      <c r="F695" s="15">
        <v>58006</v>
      </c>
      <c r="G695" s="14">
        <v>2900.3</v>
      </c>
      <c r="H695" s="14">
        <v>3418.2107142857167</v>
      </c>
      <c r="I695" s="15">
        <v>299</v>
      </c>
    </row>
    <row r="696" spans="1:9" x14ac:dyDescent="0.3">
      <c r="A696" s="13" t="s">
        <v>31</v>
      </c>
      <c r="B696" s="13" t="s">
        <v>28</v>
      </c>
      <c r="C696" s="13" t="s">
        <v>10</v>
      </c>
      <c r="D696" s="13" t="s">
        <v>11</v>
      </c>
      <c r="E696">
        <v>350</v>
      </c>
      <c r="F696" s="15">
        <v>117250</v>
      </c>
      <c r="G696" s="14">
        <v>5862.5</v>
      </c>
      <c r="H696" s="14">
        <v>6155.6250000000073</v>
      </c>
      <c r="I696" s="15">
        <v>335</v>
      </c>
    </row>
    <row r="697" spans="1:9" x14ac:dyDescent="0.3">
      <c r="A697" s="13" t="s">
        <v>31</v>
      </c>
      <c r="B697" s="13" t="s">
        <v>28</v>
      </c>
      <c r="C697" s="13" t="s">
        <v>16</v>
      </c>
      <c r="D697" s="13" t="s">
        <v>17</v>
      </c>
      <c r="E697">
        <v>144</v>
      </c>
      <c r="F697" s="15">
        <v>43056</v>
      </c>
      <c r="G697" s="14">
        <v>2152.8000000000002</v>
      </c>
      <c r="H697" s="14">
        <v>2537.2285714285717</v>
      </c>
      <c r="I697" s="15">
        <v>299</v>
      </c>
    </row>
    <row r="698" spans="1:9" x14ac:dyDescent="0.3">
      <c r="A698" s="13" t="s">
        <v>31</v>
      </c>
      <c r="B698" s="13" t="s">
        <v>28</v>
      </c>
      <c r="C698" s="13" t="s">
        <v>10</v>
      </c>
      <c r="D698" s="13" t="s">
        <v>11</v>
      </c>
      <c r="E698">
        <v>216</v>
      </c>
      <c r="F698" s="15">
        <v>72360</v>
      </c>
      <c r="G698" s="14">
        <v>3618</v>
      </c>
      <c r="H698" s="14">
        <v>3798.9000000000015</v>
      </c>
      <c r="I698" s="15">
        <v>335</v>
      </c>
    </row>
    <row r="699" spans="1:9" x14ac:dyDescent="0.3">
      <c r="A699" s="13" t="s">
        <v>31</v>
      </c>
      <c r="B699" s="13" t="s">
        <v>28</v>
      </c>
      <c r="C699" s="13" t="s">
        <v>16</v>
      </c>
      <c r="D699" s="13" t="s">
        <v>17</v>
      </c>
      <c r="E699">
        <v>106</v>
      </c>
      <c r="F699" s="15">
        <v>31694</v>
      </c>
      <c r="G699" s="14">
        <v>1584.7</v>
      </c>
      <c r="H699" s="14">
        <v>1867.6821428571438</v>
      </c>
      <c r="I699" s="15">
        <v>299</v>
      </c>
    </row>
    <row r="700" spans="1:9" x14ac:dyDescent="0.3">
      <c r="A700" s="13" t="s">
        <v>31</v>
      </c>
      <c r="B700" s="13" t="s">
        <v>28</v>
      </c>
      <c r="C700" s="13" t="s">
        <v>10</v>
      </c>
      <c r="D700" s="13" t="s">
        <v>11</v>
      </c>
      <c r="E700">
        <v>192</v>
      </c>
      <c r="F700" s="15">
        <v>64320</v>
      </c>
      <c r="G700" s="14">
        <v>3216</v>
      </c>
      <c r="H700" s="14">
        <v>3376.8000000000029</v>
      </c>
      <c r="I700" s="15">
        <v>335</v>
      </c>
    </row>
    <row r="701" spans="1:9" x14ac:dyDescent="0.3">
      <c r="A701" s="13" t="s">
        <v>31</v>
      </c>
      <c r="B701" s="13" t="s">
        <v>28</v>
      </c>
      <c r="C701" s="13" t="s">
        <v>16</v>
      </c>
      <c r="D701" s="13" t="s">
        <v>17</v>
      </c>
      <c r="E701">
        <v>136</v>
      </c>
      <c r="F701" s="15">
        <v>40664</v>
      </c>
      <c r="G701" s="14">
        <v>2033.2</v>
      </c>
      <c r="H701" s="14">
        <v>2396.2714285714319</v>
      </c>
      <c r="I701" s="15">
        <v>299</v>
      </c>
    </row>
    <row r="702" spans="1:9" x14ac:dyDescent="0.3">
      <c r="A702" s="13" t="s">
        <v>31</v>
      </c>
      <c r="B702" s="13" t="s">
        <v>28</v>
      </c>
      <c r="C702" s="13" t="s">
        <v>10</v>
      </c>
      <c r="D702" s="13" t="s">
        <v>11</v>
      </c>
      <c r="E702">
        <v>222</v>
      </c>
      <c r="F702" s="15">
        <v>74370</v>
      </c>
      <c r="G702" s="14">
        <v>3718.5</v>
      </c>
      <c r="H702" s="14">
        <v>3904.4250000000029</v>
      </c>
      <c r="I702" s="15">
        <v>335</v>
      </c>
    </row>
    <row r="703" spans="1:9" x14ac:dyDescent="0.3">
      <c r="A703" s="13" t="s">
        <v>31</v>
      </c>
      <c r="B703" s="13" t="s">
        <v>28</v>
      </c>
      <c r="C703" s="13" t="s">
        <v>16</v>
      </c>
      <c r="D703" s="13" t="s">
        <v>17</v>
      </c>
      <c r="E703">
        <v>146</v>
      </c>
      <c r="F703" s="15">
        <v>43654</v>
      </c>
      <c r="G703" s="14">
        <v>2182.7000000000003</v>
      </c>
      <c r="H703" s="14">
        <v>2572.4678571428594</v>
      </c>
      <c r="I703" s="15">
        <v>299</v>
      </c>
    </row>
    <row r="704" spans="1:9" x14ac:dyDescent="0.3">
      <c r="A704" s="13" t="s">
        <v>31</v>
      </c>
      <c r="B704" s="13" t="s">
        <v>28</v>
      </c>
      <c r="C704" s="13" t="s">
        <v>10</v>
      </c>
      <c r="D704" s="13" t="s">
        <v>11</v>
      </c>
      <c r="E704">
        <v>264</v>
      </c>
      <c r="F704" s="15">
        <v>88440</v>
      </c>
      <c r="G704" s="14">
        <v>4422</v>
      </c>
      <c r="H704" s="14">
        <v>4643.1000000000058</v>
      </c>
      <c r="I704" s="15">
        <v>335</v>
      </c>
    </row>
    <row r="705" spans="1:9" x14ac:dyDescent="0.3">
      <c r="A705" s="13" t="s">
        <v>31</v>
      </c>
      <c r="B705" s="13" t="s">
        <v>28</v>
      </c>
      <c r="C705" s="13" t="s">
        <v>16</v>
      </c>
      <c r="D705" s="13" t="s">
        <v>17</v>
      </c>
      <c r="E705">
        <v>148</v>
      </c>
      <c r="F705" s="15">
        <v>44252</v>
      </c>
      <c r="G705" s="14">
        <v>2212.6</v>
      </c>
      <c r="H705" s="14">
        <v>2607.7071428571435</v>
      </c>
      <c r="I705" s="15">
        <v>299</v>
      </c>
    </row>
    <row r="706" spans="1:9" x14ac:dyDescent="0.3">
      <c r="A706" s="13" t="s">
        <v>31</v>
      </c>
      <c r="B706" s="13" t="s">
        <v>28</v>
      </c>
      <c r="C706" s="13" t="s">
        <v>10</v>
      </c>
      <c r="D706" s="13" t="s">
        <v>11</v>
      </c>
      <c r="E706">
        <v>238</v>
      </c>
      <c r="F706" s="15">
        <v>79730</v>
      </c>
      <c r="G706" s="14">
        <v>3986.5</v>
      </c>
      <c r="H706" s="14">
        <v>4185.8250000000044</v>
      </c>
      <c r="I706" s="15">
        <v>335</v>
      </c>
    </row>
    <row r="707" spans="1:9" x14ac:dyDescent="0.3">
      <c r="A707" s="13" t="s">
        <v>31</v>
      </c>
      <c r="B707" s="13" t="s">
        <v>28</v>
      </c>
      <c r="C707" s="13" t="s">
        <v>16</v>
      </c>
      <c r="D707" s="13" t="s">
        <v>17</v>
      </c>
      <c r="E707">
        <v>104</v>
      </c>
      <c r="F707" s="15">
        <v>31096</v>
      </c>
      <c r="G707" s="14">
        <v>1554.8000000000002</v>
      </c>
      <c r="H707" s="14">
        <v>1832.442857142858</v>
      </c>
      <c r="I707" s="15">
        <v>299</v>
      </c>
    </row>
    <row r="708" spans="1:9" x14ac:dyDescent="0.3">
      <c r="A708" s="13" t="s">
        <v>31</v>
      </c>
      <c r="B708" s="13" t="s">
        <v>28</v>
      </c>
      <c r="C708" s="13" t="s">
        <v>10</v>
      </c>
      <c r="D708" s="13" t="s">
        <v>11</v>
      </c>
      <c r="E708">
        <v>194</v>
      </c>
      <c r="F708" s="15">
        <v>64990</v>
      </c>
      <c r="G708" s="14">
        <v>3249.5</v>
      </c>
      <c r="H708" s="14">
        <v>3411.9750000000022</v>
      </c>
      <c r="I708" s="15">
        <v>335</v>
      </c>
    </row>
    <row r="709" spans="1:9" x14ac:dyDescent="0.3">
      <c r="A709" s="13" t="s">
        <v>31</v>
      </c>
      <c r="B709" s="13" t="s">
        <v>28</v>
      </c>
      <c r="C709" s="13" t="s">
        <v>16</v>
      </c>
      <c r="D709" s="13" t="s">
        <v>17</v>
      </c>
      <c r="E709">
        <v>126</v>
      </c>
      <c r="F709" s="15">
        <v>37674</v>
      </c>
      <c r="G709" s="14">
        <v>1883.7</v>
      </c>
      <c r="H709" s="14">
        <v>2220.0750000000007</v>
      </c>
      <c r="I709" s="15">
        <v>299</v>
      </c>
    </row>
    <row r="710" spans="1:9" x14ac:dyDescent="0.3">
      <c r="A710" s="13" t="s">
        <v>31</v>
      </c>
      <c r="B710" s="13" t="s">
        <v>28</v>
      </c>
      <c r="C710" s="13" t="s">
        <v>10</v>
      </c>
      <c r="D710" s="13" t="s">
        <v>11</v>
      </c>
      <c r="E710">
        <v>232</v>
      </c>
      <c r="F710" s="15">
        <v>77720</v>
      </c>
      <c r="G710" s="14">
        <v>3886</v>
      </c>
      <c r="H710" s="14">
        <v>4080.3000000000029</v>
      </c>
      <c r="I710" s="15">
        <v>335</v>
      </c>
    </row>
    <row r="711" spans="1:9" x14ac:dyDescent="0.3">
      <c r="A711" s="13" t="s">
        <v>31</v>
      </c>
      <c r="B711" s="13" t="s">
        <v>28</v>
      </c>
      <c r="C711" s="13" t="s">
        <v>16</v>
      </c>
      <c r="D711" s="13" t="s">
        <v>17</v>
      </c>
      <c r="E711">
        <v>94</v>
      </c>
      <c r="F711" s="15">
        <v>28106</v>
      </c>
      <c r="G711" s="14">
        <v>1405.3000000000002</v>
      </c>
      <c r="H711" s="14">
        <v>1656.2464285714304</v>
      </c>
      <c r="I711" s="15">
        <v>299</v>
      </c>
    </row>
    <row r="712" spans="1:9" x14ac:dyDescent="0.3">
      <c r="A712" s="13" t="s">
        <v>31</v>
      </c>
      <c r="B712" s="13" t="s">
        <v>28</v>
      </c>
      <c r="C712" s="13" t="s">
        <v>10</v>
      </c>
      <c r="D712" s="13" t="s">
        <v>11</v>
      </c>
      <c r="E712">
        <v>184</v>
      </c>
      <c r="F712" s="15">
        <v>61640</v>
      </c>
      <c r="G712" s="14">
        <v>3082</v>
      </c>
      <c r="H712" s="14">
        <v>3236.1000000000022</v>
      </c>
      <c r="I712" s="15">
        <v>335</v>
      </c>
    </row>
    <row r="713" spans="1:9" x14ac:dyDescent="0.3">
      <c r="A713" s="13" t="s">
        <v>31</v>
      </c>
      <c r="B713" s="13" t="s">
        <v>28</v>
      </c>
      <c r="C713" s="13" t="s">
        <v>16</v>
      </c>
      <c r="D713" s="13" t="s">
        <v>17</v>
      </c>
      <c r="E713">
        <v>76</v>
      </c>
      <c r="F713" s="15">
        <v>22724</v>
      </c>
      <c r="G713" s="14">
        <v>1136.2</v>
      </c>
      <c r="H713" s="14">
        <v>1339.0928571428576</v>
      </c>
      <c r="I713" s="15">
        <v>299</v>
      </c>
    </row>
    <row r="714" spans="1:9" x14ac:dyDescent="0.3">
      <c r="A714" s="13" t="s">
        <v>31</v>
      </c>
      <c r="B714" s="13" t="s">
        <v>28</v>
      </c>
      <c r="C714" s="13" t="s">
        <v>10</v>
      </c>
      <c r="D714" s="13" t="s">
        <v>11</v>
      </c>
      <c r="E714">
        <v>128</v>
      </c>
      <c r="F714" s="15">
        <v>42880</v>
      </c>
      <c r="G714" s="14">
        <v>2144</v>
      </c>
      <c r="H714" s="14">
        <v>2251.2000000000007</v>
      </c>
      <c r="I714" s="15">
        <v>335</v>
      </c>
    </row>
    <row r="715" spans="1:9" x14ac:dyDescent="0.3">
      <c r="A715" s="13" t="s">
        <v>31</v>
      </c>
      <c r="B715" s="13" t="s">
        <v>28</v>
      </c>
      <c r="C715" s="13" t="s">
        <v>16</v>
      </c>
      <c r="D715" s="13" t="s">
        <v>17</v>
      </c>
      <c r="E715">
        <v>76</v>
      </c>
      <c r="F715" s="15">
        <v>22724</v>
      </c>
      <c r="G715" s="14">
        <v>1136.2</v>
      </c>
      <c r="H715" s="14">
        <v>1339.0928571428576</v>
      </c>
      <c r="I715" s="15">
        <v>299</v>
      </c>
    </row>
    <row r="716" spans="1:9" x14ac:dyDescent="0.3">
      <c r="A716" s="13" t="s">
        <v>31</v>
      </c>
      <c r="B716" s="13" t="s">
        <v>28</v>
      </c>
      <c r="C716" s="13" t="s">
        <v>10</v>
      </c>
      <c r="D716" s="13" t="s">
        <v>11</v>
      </c>
      <c r="E716">
        <v>94</v>
      </c>
      <c r="F716" s="15">
        <v>31490</v>
      </c>
      <c r="G716" s="14">
        <v>1574.5</v>
      </c>
      <c r="H716" s="14">
        <v>1653.2250000000022</v>
      </c>
      <c r="I716" s="15">
        <v>335</v>
      </c>
    </row>
    <row r="717" spans="1:9" x14ac:dyDescent="0.3">
      <c r="A717" s="13" t="s">
        <v>31</v>
      </c>
      <c r="B717" s="13" t="s">
        <v>28</v>
      </c>
      <c r="C717" s="13" t="s">
        <v>16</v>
      </c>
      <c r="D717" s="13" t="s">
        <v>17</v>
      </c>
      <c r="E717">
        <v>98</v>
      </c>
      <c r="F717" s="15">
        <v>29302</v>
      </c>
      <c r="G717" s="14">
        <v>1465.1000000000001</v>
      </c>
      <c r="H717" s="14">
        <v>1726.7250000000022</v>
      </c>
      <c r="I717" s="15">
        <v>299</v>
      </c>
    </row>
    <row r="718" spans="1:9" x14ac:dyDescent="0.3">
      <c r="A718" s="13" t="s">
        <v>31</v>
      </c>
      <c r="B718" s="13" t="s">
        <v>28</v>
      </c>
      <c r="C718" s="13" t="s">
        <v>10</v>
      </c>
      <c r="D718" s="13" t="s">
        <v>11</v>
      </c>
      <c r="E718">
        <v>232</v>
      </c>
      <c r="F718" s="15">
        <v>77720</v>
      </c>
      <c r="G718" s="14">
        <v>3886</v>
      </c>
      <c r="H718" s="14">
        <v>4080.3000000000029</v>
      </c>
      <c r="I718" s="15">
        <v>335</v>
      </c>
    </row>
    <row r="719" spans="1:9" x14ac:dyDescent="0.3">
      <c r="A719" s="13" t="s">
        <v>31</v>
      </c>
      <c r="B719" s="13" t="s">
        <v>28</v>
      </c>
      <c r="C719" s="13" t="s">
        <v>16</v>
      </c>
      <c r="D719" s="13" t="s">
        <v>17</v>
      </c>
      <c r="E719">
        <v>124</v>
      </c>
      <c r="F719" s="15">
        <v>37076</v>
      </c>
      <c r="G719" s="14">
        <v>1853.8000000000002</v>
      </c>
      <c r="H719" s="14">
        <v>2184.8357142857167</v>
      </c>
      <c r="I719" s="15">
        <v>299</v>
      </c>
    </row>
    <row r="720" spans="1:9" x14ac:dyDescent="0.3">
      <c r="A720" s="13" t="s">
        <v>31</v>
      </c>
      <c r="B720" s="13" t="s">
        <v>28</v>
      </c>
      <c r="C720" s="13" t="s">
        <v>10</v>
      </c>
      <c r="D720" s="13" t="s">
        <v>11</v>
      </c>
      <c r="E720">
        <v>222</v>
      </c>
      <c r="F720" s="15">
        <v>74370</v>
      </c>
      <c r="G720" s="14">
        <v>3718.5</v>
      </c>
      <c r="H720" s="14">
        <v>3904.4250000000029</v>
      </c>
      <c r="I720" s="15">
        <v>335</v>
      </c>
    </row>
    <row r="721" spans="1:9" x14ac:dyDescent="0.3">
      <c r="A721" s="13" t="s">
        <v>31</v>
      </c>
      <c r="B721" s="13" t="s">
        <v>28</v>
      </c>
      <c r="C721" s="13" t="s">
        <v>16</v>
      </c>
      <c r="D721" s="13" t="s">
        <v>17</v>
      </c>
      <c r="E721">
        <v>126</v>
      </c>
      <c r="F721" s="15">
        <v>37674</v>
      </c>
      <c r="G721" s="14">
        <v>1883.7</v>
      </c>
      <c r="H721" s="14">
        <v>2220.0750000000007</v>
      </c>
      <c r="I721" s="15">
        <v>299</v>
      </c>
    </row>
    <row r="722" spans="1:9" x14ac:dyDescent="0.3">
      <c r="A722" s="13" t="s">
        <v>31</v>
      </c>
      <c r="B722" s="13" t="s">
        <v>28</v>
      </c>
      <c r="C722" s="13" t="s">
        <v>10</v>
      </c>
      <c r="D722" s="13" t="s">
        <v>11</v>
      </c>
      <c r="E722">
        <v>278</v>
      </c>
      <c r="F722" s="15">
        <v>93130</v>
      </c>
      <c r="G722" s="14">
        <v>4656.5</v>
      </c>
      <c r="H722" s="14">
        <v>4889.3250000000044</v>
      </c>
      <c r="I722" s="15">
        <v>335</v>
      </c>
    </row>
    <row r="723" spans="1:9" x14ac:dyDescent="0.3">
      <c r="A723" s="13" t="s">
        <v>31</v>
      </c>
      <c r="B723" s="13" t="s">
        <v>28</v>
      </c>
      <c r="C723" s="13" t="s">
        <v>16</v>
      </c>
      <c r="D723" s="13" t="s">
        <v>17</v>
      </c>
      <c r="E723">
        <v>178</v>
      </c>
      <c r="F723" s="15">
        <v>53222</v>
      </c>
      <c r="G723" s="14">
        <v>2661.1000000000004</v>
      </c>
      <c r="H723" s="14">
        <v>3136.2964285714297</v>
      </c>
      <c r="I723" s="15">
        <v>299</v>
      </c>
    </row>
    <row r="724" spans="1:9" x14ac:dyDescent="0.3">
      <c r="A724" s="13" t="s">
        <v>31</v>
      </c>
      <c r="B724" s="13" t="s">
        <v>28</v>
      </c>
      <c r="C724" s="13" t="s">
        <v>10</v>
      </c>
      <c r="D724" s="13" t="s">
        <v>11</v>
      </c>
      <c r="E724">
        <v>362</v>
      </c>
      <c r="F724" s="15">
        <v>121270</v>
      </c>
      <c r="G724" s="14">
        <v>6063.5</v>
      </c>
      <c r="H724" s="14">
        <v>6366.6750000000029</v>
      </c>
      <c r="I724" s="15">
        <v>335</v>
      </c>
    </row>
    <row r="725" spans="1:9" x14ac:dyDescent="0.3">
      <c r="A725" s="13" t="s">
        <v>31</v>
      </c>
      <c r="B725" s="13" t="s">
        <v>28</v>
      </c>
      <c r="C725" s="13" t="s">
        <v>16</v>
      </c>
      <c r="D725" s="13" t="s">
        <v>17</v>
      </c>
      <c r="E725">
        <v>142</v>
      </c>
      <c r="F725" s="15">
        <v>42458</v>
      </c>
      <c r="G725" s="14">
        <v>2122.9</v>
      </c>
      <c r="H725" s="14">
        <v>2501.9892857142877</v>
      </c>
      <c r="I725" s="15">
        <v>299</v>
      </c>
    </row>
    <row r="726" spans="1:9" x14ac:dyDescent="0.3">
      <c r="A726" s="13" t="s">
        <v>31</v>
      </c>
      <c r="B726" s="13" t="s">
        <v>28</v>
      </c>
      <c r="C726" s="13" t="s">
        <v>10</v>
      </c>
      <c r="D726" s="13" t="s">
        <v>11</v>
      </c>
      <c r="E726">
        <v>320</v>
      </c>
      <c r="F726" s="15">
        <v>107200</v>
      </c>
      <c r="G726" s="14">
        <v>5360</v>
      </c>
      <c r="H726" s="14">
        <v>5628.0000000000073</v>
      </c>
      <c r="I726" s="15">
        <v>335</v>
      </c>
    </row>
    <row r="727" spans="1:9" x14ac:dyDescent="0.3">
      <c r="A727" s="13" t="s">
        <v>31</v>
      </c>
      <c r="B727" s="13" t="s">
        <v>28</v>
      </c>
      <c r="C727" s="13" t="s">
        <v>16</v>
      </c>
      <c r="D727" s="13" t="s">
        <v>17</v>
      </c>
      <c r="E727">
        <v>148</v>
      </c>
      <c r="F727" s="15">
        <v>44252</v>
      </c>
      <c r="G727" s="14">
        <v>2212.6</v>
      </c>
      <c r="H727" s="14">
        <v>2607.7071428571435</v>
      </c>
      <c r="I727" s="15">
        <v>299</v>
      </c>
    </row>
    <row r="728" spans="1:9" x14ac:dyDescent="0.3">
      <c r="A728" s="13" t="s">
        <v>31</v>
      </c>
      <c r="B728" s="13" t="s">
        <v>28</v>
      </c>
      <c r="C728" s="13" t="s">
        <v>10</v>
      </c>
      <c r="D728" s="13" t="s">
        <v>11</v>
      </c>
      <c r="E728">
        <v>262</v>
      </c>
      <c r="F728" s="15">
        <v>87770</v>
      </c>
      <c r="G728" s="14">
        <v>4388.5</v>
      </c>
      <c r="H728" s="14">
        <v>4607.9250000000029</v>
      </c>
      <c r="I728" s="15">
        <v>335</v>
      </c>
    </row>
    <row r="729" spans="1:9" x14ac:dyDescent="0.3">
      <c r="A729" s="13" t="s">
        <v>31</v>
      </c>
      <c r="B729" s="13" t="s">
        <v>28</v>
      </c>
      <c r="C729" s="13" t="s">
        <v>16</v>
      </c>
      <c r="D729" s="13" t="s">
        <v>17</v>
      </c>
      <c r="E729">
        <v>160</v>
      </c>
      <c r="F729" s="15">
        <v>47840</v>
      </c>
      <c r="G729" s="14">
        <v>2392</v>
      </c>
      <c r="H729" s="14">
        <v>2819.1428571428587</v>
      </c>
      <c r="I729" s="15">
        <v>299</v>
      </c>
    </row>
    <row r="730" spans="1:9" x14ac:dyDescent="0.3">
      <c r="A730" s="13" t="s">
        <v>31</v>
      </c>
      <c r="B730" s="13" t="s">
        <v>28</v>
      </c>
      <c r="C730" s="13" t="s">
        <v>10</v>
      </c>
      <c r="D730" s="13" t="s">
        <v>11</v>
      </c>
      <c r="E730">
        <v>282</v>
      </c>
      <c r="F730" s="15">
        <v>94470</v>
      </c>
      <c r="G730" s="14">
        <v>4723.5</v>
      </c>
      <c r="H730" s="14">
        <v>4959.6750000000029</v>
      </c>
      <c r="I730" s="15">
        <v>335</v>
      </c>
    </row>
    <row r="731" spans="1:9" x14ac:dyDescent="0.3">
      <c r="A731" s="13" t="s">
        <v>31</v>
      </c>
      <c r="B731" s="13" t="s">
        <v>28</v>
      </c>
      <c r="C731" s="13" t="s">
        <v>16</v>
      </c>
      <c r="D731" s="13" t="s">
        <v>17</v>
      </c>
      <c r="E731">
        <v>120</v>
      </c>
      <c r="F731" s="15">
        <v>35880</v>
      </c>
      <c r="G731" s="14">
        <v>1794</v>
      </c>
      <c r="H731" s="14">
        <v>2114.3571428571449</v>
      </c>
      <c r="I731" s="15">
        <v>299</v>
      </c>
    </row>
    <row r="732" spans="1:9" x14ac:dyDescent="0.3">
      <c r="A732" s="13" t="s">
        <v>31</v>
      </c>
      <c r="B732" s="13" t="s">
        <v>28</v>
      </c>
      <c r="C732" s="13" t="s">
        <v>10</v>
      </c>
      <c r="D732" s="13" t="s">
        <v>11</v>
      </c>
      <c r="E732">
        <v>312</v>
      </c>
      <c r="F732" s="15">
        <v>104520</v>
      </c>
      <c r="G732" s="14">
        <v>5226</v>
      </c>
      <c r="H732" s="14">
        <v>5487.3000000000029</v>
      </c>
      <c r="I732" s="15">
        <v>335</v>
      </c>
    </row>
    <row r="733" spans="1:9" x14ac:dyDescent="0.3">
      <c r="A733" s="13" t="s">
        <v>31</v>
      </c>
      <c r="B733" s="13" t="s">
        <v>28</v>
      </c>
      <c r="C733" s="13" t="s">
        <v>16</v>
      </c>
      <c r="D733" s="13" t="s">
        <v>17</v>
      </c>
      <c r="E733">
        <v>162</v>
      </c>
      <c r="F733" s="15">
        <v>48438</v>
      </c>
      <c r="G733" s="14">
        <v>2421.9</v>
      </c>
      <c r="H733" s="14">
        <v>2854.3821428571464</v>
      </c>
      <c r="I733" s="15">
        <v>299</v>
      </c>
    </row>
    <row r="734" spans="1:9" x14ac:dyDescent="0.3">
      <c r="A734" s="13" t="s">
        <v>31</v>
      </c>
      <c r="B734" s="13" t="s">
        <v>28</v>
      </c>
      <c r="C734" s="13" t="s">
        <v>10</v>
      </c>
      <c r="D734" s="13" t="s">
        <v>11</v>
      </c>
      <c r="E734">
        <v>338</v>
      </c>
      <c r="F734" s="15">
        <v>113230</v>
      </c>
      <c r="G734" s="14">
        <v>5661.5</v>
      </c>
      <c r="H734" s="14">
        <v>5944.5750000000044</v>
      </c>
      <c r="I734" s="15">
        <v>335</v>
      </c>
    </row>
    <row r="735" spans="1:9" x14ac:dyDescent="0.3">
      <c r="A735" s="13" t="s">
        <v>31</v>
      </c>
      <c r="B735" s="13" t="s">
        <v>28</v>
      </c>
      <c r="C735" s="13" t="s">
        <v>16</v>
      </c>
      <c r="D735" s="13" t="s">
        <v>17</v>
      </c>
      <c r="E735">
        <v>118</v>
      </c>
      <c r="F735" s="15">
        <v>35282</v>
      </c>
      <c r="G735" s="14">
        <v>1764.1000000000001</v>
      </c>
      <c r="H735" s="14">
        <v>2079.1178571428572</v>
      </c>
      <c r="I735" s="15">
        <v>299</v>
      </c>
    </row>
    <row r="736" spans="1:9" x14ac:dyDescent="0.3">
      <c r="A736" s="13" t="s">
        <v>31</v>
      </c>
      <c r="B736" s="13" t="s">
        <v>28</v>
      </c>
      <c r="C736" s="13" t="s">
        <v>10</v>
      </c>
      <c r="D736" s="13" t="s">
        <v>11</v>
      </c>
      <c r="E736">
        <v>320</v>
      </c>
      <c r="F736" s="15">
        <v>107200</v>
      </c>
      <c r="G736" s="14">
        <v>5360</v>
      </c>
      <c r="H736" s="14">
        <v>5628.0000000000073</v>
      </c>
      <c r="I736" s="15">
        <v>335</v>
      </c>
    </row>
    <row r="737" spans="1:9" x14ac:dyDescent="0.3">
      <c r="A737" s="13" t="s">
        <v>31</v>
      </c>
      <c r="B737" s="13" t="s">
        <v>28</v>
      </c>
      <c r="C737" s="13" t="s">
        <v>16</v>
      </c>
      <c r="D737" s="13" t="s">
        <v>17</v>
      </c>
      <c r="E737">
        <v>140</v>
      </c>
      <c r="F737" s="15">
        <v>41860</v>
      </c>
      <c r="G737" s="14">
        <v>2093</v>
      </c>
      <c r="H737" s="14">
        <v>2466.7500000000036</v>
      </c>
      <c r="I737" s="15">
        <v>299</v>
      </c>
    </row>
    <row r="738" spans="1:9" x14ac:dyDescent="0.3">
      <c r="A738" s="13" t="s">
        <v>31</v>
      </c>
      <c r="B738" s="13" t="s">
        <v>28</v>
      </c>
      <c r="C738" s="13" t="s">
        <v>10</v>
      </c>
      <c r="D738" s="13" t="s">
        <v>11</v>
      </c>
      <c r="E738">
        <v>286</v>
      </c>
      <c r="F738" s="15">
        <v>95810</v>
      </c>
      <c r="G738" s="14">
        <v>4790.5</v>
      </c>
      <c r="H738" s="14">
        <v>5030.0250000000015</v>
      </c>
      <c r="I738" s="15">
        <v>335</v>
      </c>
    </row>
    <row r="739" spans="1:9" x14ac:dyDescent="0.3">
      <c r="A739" s="13" t="s">
        <v>31</v>
      </c>
      <c r="B739" s="13" t="s">
        <v>28</v>
      </c>
      <c r="C739" s="13" t="s">
        <v>16</v>
      </c>
      <c r="D739" s="13" t="s">
        <v>17</v>
      </c>
      <c r="E739">
        <v>98</v>
      </c>
      <c r="F739" s="15">
        <v>29302</v>
      </c>
      <c r="G739" s="14">
        <v>1465.1000000000001</v>
      </c>
      <c r="H739" s="14">
        <v>1726.7250000000022</v>
      </c>
      <c r="I739" s="15">
        <v>299</v>
      </c>
    </row>
    <row r="740" spans="1:9" x14ac:dyDescent="0.3">
      <c r="A740" s="13" t="s">
        <v>31</v>
      </c>
      <c r="B740" s="13" t="s">
        <v>28</v>
      </c>
      <c r="C740" s="13" t="s">
        <v>10</v>
      </c>
      <c r="D740" s="13" t="s">
        <v>11</v>
      </c>
      <c r="E740">
        <v>222</v>
      </c>
      <c r="F740" s="15">
        <v>74370</v>
      </c>
      <c r="G740" s="14">
        <v>3718.5</v>
      </c>
      <c r="H740" s="14">
        <v>3904.4250000000029</v>
      </c>
      <c r="I740" s="15">
        <v>335</v>
      </c>
    </row>
    <row r="741" spans="1:9" x14ac:dyDescent="0.3">
      <c r="A741" s="13" t="s">
        <v>31</v>
      </c>
      <c r="B741" s="13" t="s">
        <v>28</v>
      </c>
      <c r="C741" s="13" t="s">
        <v>16</v>
      </c>
      <c r="D741" s="13" t="s">
        <v>17</v>
      </c>
      <c r="E741">
        <v>104</v>
      </c>
      <c r="F741" s="15">
        <v>31096</v>
      </c>
      <c r="G741" s="14">
        <v>1554.8000000000002</v>
      </c>
      <c r="H741" s="14">
        <v>1832.442857142858</v>
      </c>
      <c r="I741" s="15">
        <v>299</v>
      </c>
    </row>
    <row r="742" spans="1:9" x14ac:dyDescent="0.3">
      <c r="A742" s="13" t="s">
        <v>31</v>
      </c>
      <c r="B742" s="13" t="s">
        <v>28</v>
      </c>
      <c r="C742" s="13" t="s">
        <v>10</v>
      </c>
      <c r="D742" s="13" t="s">
        <v>11</v>
      </c>
      <c r="E742">
        <v>270</v>
      </c>
      <c r="F742" s="15">
        <v>90450</v>
      </c>
      <c r="G742" s="14">
        <v>4522.5</v>
      </c>
      <c r="H742" s="14">
        <v>4748.6250000000073</v>
      </c>
      <c r="I742" s="15">
        <v>335</v>
      </c>
    </row>
    <row r="743" spans="1:9" x14ac:dyDescent="0.3">
      <c r="A743" s="13" t="s">
        <v>31</v>
      </c>
      <c r="B743" s="13" t="s">
        <v>28</v>
      </c>
      <c r="C743" s="13" t="s">
        <v>16</v>
      </c>
      <c r="D743" s="13" t="s">
        <v>17</v>
      </c>
      <c r="E743">
        <v>106</v>
      </c>
      <c r="F743" s="15">
        <v>31694</v>
      </c>
      <c r="G743" s="14">
        <v>1584.7</v>
      </c>
      <c r="H743" s="14">
        <v>1867.6821428571438</v>
      </c>
      <c r="I743" s="15">
        <v>299</v>
      </c>
    </row>
    <row r="744" spans="1:9" x14ac:dyDescent="0.3">
      <c r="A744" s="13" t="s">
        <v>31</v>
      </c>
      <c r="B744" s="13" t="s">
        <v>28</v>
      </c>
      <c r="C744" s="13" t="s">
        <v>10</v>
      </c>
      <c r="D744" s="13" t="s">
        <v>11</v>
      </c>
      <c r="E744">
        <v>212</v>
      </c>
      <c r="F744" s="15">
        <v>71020</v>
      </c>
      <c r="G744" s="14">
        <v>3551</v>
      </c>
      <c r="H744" s="14">
        <v>3728.5500000000029</v>
      </c>
      <c r="I744" s="15">
        <v>335</v>
      </c>
    </row>
    <row r="745" spans="1:9" x14ac:dyDescent="0.3">
      <c r="A745" s="13" t="s">
        <v>31</v>
      </c>
      <c r="B745" s="13" t="s">
        <v>9</v>
      </c>
      <c r="C745" s="13" t="s">
        <v>16</v>
      </c>
      <c r="D745" s="13" t="s">
        <v>17</v>
      </c>
      <c r="E745">
        <v>222</v>
      </c>
      <c r="F745" s="15">
        <v>66378</v>
      </c>
      <c r="G745" s="14">
        <v>3318.9</v>
      </c>
      <c r="H745" s="14">
        <v>3911.5607142857152</v>
      </c>
      <c r="I745" s="15">
        <v>299</v>
      </c>
    </row>
    <row r="746" spans="1:9" x14ac:dyDescent="0.3">
      <c r="A746" s="13" t="s">
        <v>31</v>
      </c>
      <c r="B746" s="13" t="s">
        <v>9</v>
      </c>
      <c r="C746" s="13" t="s">
        <v>10</v>
      </c>
      <c r="D746" s="13" t="s">
        <v>11</v>
      </c>
      <c r="E746">
        <v>278</v>
      </c>
      <c r="F746" s="15">
        <v>93130</v>
      </c>
      <c r="G746" s="14">
        <v>4656.5</v>
      </c>
      <c r="H746" s="14">
        <v>4889.3250000000044</v>
      </c>
      <c r="I746" s="15">
        <v>335</v>
      </c>
    </row>
    <row r="747" spans="1:9" x14ac:dyDescent="0.3">
      <c r="A747" s="13" t="s">
        <v>31</v>
      </c>
      <c r="B747" s="13" t="s">
        <v>9</v>
      </c>
      <c r="C747" s="13" t="s">
        <v>16</v>
      </c>
      <c r="D747" s="13" t="s">
        <v>17</v>
      </c>
      <c r="E747">
        <v>204</v>
      </c>
      <c r="F747" s="15">
        <v>60996</v>
      </c>
      <c r="G747" s="14">
        <v>3049.8</v>
      </c>
      <c r="H747" s="14">
        <v>3594.4071428571442</v>
      </c>
      <c r="I747" s="15">
        <v>299</v>
      </c>
    </row>
    <row r="748" spans="1:9" x14ac:dyDescent="0.3">
      <c r="A748" s="13" t="s">
        <v>31</v>
      </c>
      <c r="B748" s="13" t="s">
        <v>9</v>
      </c>
      <c r="C748" s="13" t="s">
        <v>10</v>
      </c>
      <c r="D748" s="13" t="s">
        <v>11</v>
      </c>
      <c r="E748">
        <v>286</v>
      </c>
      <c r="F748" s="15">
        <v>95810</v>
      </c>
      <c r="G748" s="14">
        <v>4790.5</v>
      </c>
      <c r="H748" s="14">
        <v>5030.0250000000015</v>
      </c>
      <c r="I748" s="15">
        <v>335</v>
      </c>
    </row>
    <row r="749" spans="1:9" x14ac:dyDescent="0.3">
      <c r="A749" s="13" t="s">
        <v>31</v>
      </c>
      <c r="B749" s="13" t="s">
        <v>9</v>
      </c>
      <c r="C749" s="13" t="s">
        <v>16</v>
      </c>
      <c r="D749" s="13" t="s">
        <v>17</v>
      </c>
      <c r="E749">
        <v>190</v>
      </c>
      <c r="F749" s="15">
        <v>56810</v>
      </c>
      <c r="G749" s="14">
        <v>2840.5</v>
      </c>
      <c r="H749" s="14">
        <v>3347.7321428571449</v>
      </c>
      <c r="I749" s="15">
        <v>299</v>
      </c>
    </row>
    <row r="750" spans="1:9" x14ac:dyDescent="0.3">
      <c r="A750" s="13" t="s">
        <v>31</v>
      </c>
      <c r="B750" s="13" t="s">
        <v>9</v>
      </c>
      <c r="C750" s="13" t="s">
        <v>10</v>
      </c>
      <c r="D750" s="13" t="s">
        <v>11</v>
      </c>
      <c r="E750">
        <v>384</v>
      </c>
      <c r="F750" s="15">
        <v>128640</v>
      </c>
      <c r="G750" s="14">
        <v>6432</v>
      </c>
      <c r="H750" s="14">
        <v>6753.6000000000058</v>
      </c>
      <c r="I750" s="15">
        <v>335</v>
      </c>
    </row>
    <row r="751" spans="1:9" x14ac:dyDescent="0.3">
      <c r="A751" s="13" t="s">
        <v>31</v>
      </c>
      <c r="B751" s="13" t="s">
        <v>9</v>
      </c>
      <c r="C751" s="13" t="s">
        <v>16</v>
      </c>
      <c r="D751" s="13" t="s">
        <v>17</v>
      </c>
      <c r="E751">
        <v>298</v>
      </c>
      <c r="F751" s="15">
        <v>89102</v>
      </c>
      <c r="G751" s="14">
        <v>4455.1000000000004</v>
      </c>
      <c r="H751" s="14">
        <v>5250.6535714285783</v>
      </c>
      <c r="I751" s="15">
        <v>299</v>
      </c>
    </row>
    <row r="752" spans="1:9" x14ac:dyDescent="0.3">
      <c r="A752" s="13" t="s">
        <v>31</v>
      </c>
      <c r="B752" s="13" t="s">
        <v>9</v>
      </c>
      <c r="C752" s="13" t="s">
        <v>10</v>
      </c>
      <c r="D752" s="13" t="s">
        <v>11</v>
      </c>
      <c r="E752">
        <v>406</v>
      </c>
      <c r="F752" s="15">
        <v>136010</v>
      </c>
      <c r="G752" s="14">
        <v>6800.5</v>
      </c>
      <c r="H752" s="14">
        <v>7140.5250000000015</v>
      </c>
      <c r="I752" s="15">
        <v>335</v>
      </c>
    </row>
    <row r="753" spans="1:9" x14ac:dyDescent="0.3">
      <c r="A753" s="13" t="s">
        <v>31</v>
      </c>
      <c r="B753" s="13" t="s">
        <v>9</v>
      </c>
      <c r="C753" s="13" t="s">
        <v>16</v>
      </c>
      <c r="D753" s="13" t="s">
        <v>17</v>
      </c>
      <c r="E753">
        <v>234</v>
      </c>
      <c r="F753" s="15">
        <v>69966</v>
      </c>
      <c r="G753" s="14">
        <v>3498.3</v>
      </c>
      <c r="H753" s="14">
        <v>4122.9964285714304</v>
      </c>
      <c r="I753" s="15">
        <v>299</v>
      </c>
    </row>
    <row r="754" spans="1:9" x14ac:dyDescent="0.3">
      <c r="A754" s="13" t="s">
        <v>31</v>
      </c>
      <c r="B754" s="13" t="s">
        <v>9</v>
      </c>
      <c r="C754" s="13" t="s">
        <v>10</v>
      </c>
      <c r="D754" s="13" t="s">
        <v>11</v>
      </c>
      <c r="E754">
        <v>270</v>
      </c>
      <c r="F754" s="15">
        <v>90450</v>
      </c>
      <c r="G754" s="14">
        <v>4522.5</v>
      </c>
      <c r="H754" s="14">
        <v>4748.6250000000073</v>
      </c>
      <c r="I754" s="15">
        <v>335</v>
      </c>
    </row>
    <row r="755" spans="1:9" x14ac:dyDescent="0.3">
      <c r="A755" s="13" t="s">
        <v>31</v>
      </c>
      <c r="B755" s="13" t="s">
        <v>9</v>
      </c>
      <c r="C755" s="13" t="s">
        <v>16</v>
      </c>
      <c r="D755" s="13" t="s">
        <v>17</v>
      </c>
      <c r="E755">
        <v>220</v>
      </c>
      <c r="F755" s="15">
        <v>65780</v>
      </c>
      <c r="G755" s="14">
        <v>3289</v>
      </c>
      <c r="H755" s="14">
        <v>3876.3214285714312</v>
      </c>
      <c r="I755" s="15">
        <v>299</v>
      </c>
    </row>
    <row r="756" spans="1:9" x14ac:dyDescent="0.3">
      <c r="A756" s="13" t="s">
        <v>31</v>
      </c>
      <c r="B756" s="13" t="s">
        <v>9</v>
      </c>
      <c r="C756" s="13" t="s">
        <v>10</v>
      </c>
      <c r="D756" s="13" t="s">
        <v>11</v>
      </c>
      <c r="E756">
        <v>268</v>
      </c>
      <c r="F756" s="15">
        <v>89780</v>
      </c>
      <c r="G756" s="14">
        <v>4489</v>
      </c>
      <c r="H756" s="14">
        <v>4713.4500000000044</v>
      </c>
      <c r="I756" s="15">
        <v>335</v>
      </c>
    </row>
    <row r="757" spans="1:9" x14ac:dyDescent="0.3">
      <c r="A757" s="13" t="s">
        <v>31</v>
      </c>
      <c r="B757" s="13" t="s">
        <v>9</v>
      </c>
      <c r="C757" s="13" t="s">
        <v>16</v>
      </c>
      <c r="D757" s="13" t="s">
        <v>17</v>
      </c>
      <c r="E757">
        <v>192</v>
      </c>
      <c r="F757" s="15">
        <v>57408</v>
      </c>
      <c r="G757" s="14">
        <v>2870.4</v>
      </c>
      <c r="H757" s="14">
        <v>3382.9714285714326</v>
      </c>
      <c r="I757" s="15">
        <v>299</v>
      </c>
    </row>
    <row r="758" spans="1:9" x14ac:dyDescent="0.3">
      <c r="A758" s="13" t="s">
        <v>31</v>
      </c>
      <c r="B758" s="13" t="s">
        <v>9</v>
      </c>
      <c r="C758" s="13" t="s">
        <v>10</v>
      </c>
      <c r="D758" s="13" t="s">
        <v>11</v>
      </c>
      <c r="E758">
        <v>264</v>
      </c>
      <c r="F758" s="15">
        <v>88440</v>
      </c>
      <c r="G758" s="14">
        <v>4422</v>
      </c>
      <c r="H758" s="14">
        <v>4643.1000000000058</v>
      </c>
      <c r="I758" s="15">
        <v>335</v>
      </c>
    </row>
    <row r="759" spans="1:9" x14ac:dyDescent="0.3">
      <c r="A759" s="13" t="s">
        <v>32</v>
      </c>
      <c r="B759" s="13" t="s">
        <v>28</v>
      </c>
      <c r="C759" s="13" t="s">
        <v>16</v>
      </c>
      <c r="D759" s="13" t="s">
        <v>17</v>
      </c>
      <c r="E759">
        <v>10</v>
      </c>
      <c r="F759" s="15">
        <v>2990</v>
      </c>
      <c r="G759" s="14">
        <v>932.10000000000014</v>
      </c>
      <c r="H759" s="14">
        <v>276.4152857142858</v>
      </c>
      <c r="I759" s="15">
        <v>299</v>
      </c>
    </row>
    <row r="760" spans="1:9" x14ac:dyDescent="0.3">
      <c r="A760" s="13" t="s">
        <v>32</v>
      </c>
      <c r="B760" s="13" t="s">
        <v>28</v>
      </c>
      <c r="C760" s="13" t="s">
        <v>10</v>
      </c>
      <c r="D760" s="13" t="s">
        <v>11</v>
      </c>
      <c r="E760">
        <v>5</v>
      </c>
      <c r="F760" s="15">
        <v>1675</v>
      </c>
      <c r="G760" s="14">
        <v>596.80000000000007</v>
      </c>
      <c r="H760" s="14">
        <v>148.77171428571444</v>
      </c>
      <c r="I760" s="15">
        <v>335</v>
      </c>
    </row>
    <row r="761" spans="1:9" x14ac:dyDescent="0.3">
      <c r="A761" s="13" t="s">
        <v>32</v>
      </c>
      <c r="B761" s="13" t="s">
        <v>28</v>
      </c>
      <c r="C761" s="13" t="s">
        <v>24</v>
      </c>
      <c r="D761" s="13" t="s">
        <v>23</v>
      </c>
      <c r="E761">
        <v>5</v>
      </c>
      <c r="F761" s="15">
        <v>2250</v>
      </c>
      <c r="G761" s="14">
        <v>800.55000000000007</v>
      </c>
      <c r="H761" s="14">
        <v>199.04255357142887</v>
      </c>
      <c r="I761" s="15">
        <v>450</v>
      </c>
    </row>
    <row r="762" spans="1:9" x14ac:dyDescent="0.3">
      <c r="A762" s="13" t="s">
        <v>32</v>
      </c>
      <c r="B762" s="13" t="s">
        <v>28</v>
      </c>
      <c r="C762" s="13" t="s">
        <v>16</v>
      </c>
      <c r="D762" s="13" t="s">
        <v>17</v>
      </c>
      <c r="E762">
        <v>10</v>
      </c>
      <c r="F762" s="15">
        <v>2990</v>
      </c>
      <c r="G762" s="14">
        <v>932.10000000000014</v>
      </c>
      <c r="H762" s="14">
        <v>276.4152857142858</v>
      </c>
      <c r="I762" s="15">
        <v>299</v>
      </c>
    </row>
    <row r="763" spans="1:9" x14ac:dyDescent="0.3">
      <c r="A763" s="13" t="s">
        <v>32</v>
      </c>
      <c r="B763" s="13" t="s">
        <v>28</v>
      </c>
      <c r="C763" s="13" t="s">
        <v>18</v>
      </c>
      <c r="D763" s="13" t="s">
        <v>17</v>
      </c>
      <c r="E763">
        <v>5</v>
      </c>
      <c r="F763" s="15">
        <v>2875</v>
      </c>
      <c r="G763" s="14">
        <v>664.49999999999989</v>
      </c>
      <c r="H763" s="14">
        <v>280.98107142857174</v>
      </c>
      <c r="I763" s="15">
        <v>575</v>
      </c>
    </row>
    <row r="764" spans="1:9" x14ac:dyDescent="0.3">
      <c r="A764" s="13" t="s">
        <v>32</v>
      </c>
      <c r="B764" s="13" t="s">
        <v>28</v>
      </c>
      <c r="C764" s="13" t="s">
        <v>10</v>
      </c>
      <c r="D764" s="13" t="s">
        <v>11</v>
      </c>
      <c r="E764">
        <v>5</v>
      </c>
      <c r="F764" s="15">
        <v>1675</v>
      </c>
      <c r="G764" s="14">
        <v>596.80000000000007</v>
      </c>
      <c r="H764" s="14">
        <v>148.77171428571444</v>
      </c>
      <c r="I764" s="15">
        <v>335</v>
      </c>
    </row>
    <row r="765" spans="1:9" x14ac:dyDescent="0.3">
      <c r="A765" s="13" t="s">
        <v>32</v>
      </c>
      <c r="B765" s="13" t="s">
        <v>28</v>
      </c>
      <c r="C765" s="13" t="s">
        <v>15</v>
      </c>
      <c r="D765" s="13" t="s">
        <v>14</v>
      </c>
      <c r="E765">
        <v>10</v>
      </c>
      <c r="F765" s="15">
        <v>1650</v>
      </c>
      <c r="G765" s="14">
        <v>593.40000000000009</v>
      </c>
      <c r="H765" s="14">
        <v>145.63221428571438</v>
      </c>
      <c r="I765" s="15">
        <v>165</v>
      </c>
    </row>
    <row r="766" spans="1:9" x14ac:dyDescent="0.3">
      <c r="A766" s="13" t="s">
        <v>32</v>
      </c>
      <c r="B766" s="13" t="s">
        <v>28</v>
      </c>
      <c r="C766" s="13" t="s">
        <v>13</v>
      </c>
      <c r="D766" s="13" t="s">
        <v>14</v>
      </c>
      <c r="E766">
        <v>5</v>
      </c>
      <c r="F766" s="15">
        <v>1875</v>
      </c>
      <c r="G766" s="14">
        <v>764.95</v>
      </c>
      <c r="H766" s="14">
        <v>157.45462500000002</v>
      </c>
      <c r="I766" s="15">
        <v>375</v>
      </c>
    </row>
    <row r="767" spans="1:9" x14ac:dyDescent="0.3">
      <c r="A767" s="13" t="s">
        <v>32</v>
      </c>
      <c r="B767" s="13" t="s">
        <v>28</v>
      </c>
      <c r="C767" s="13" t="s">
        <v>24</v>
      </c>
      <c r="D767" s="13" t="s">
        <v>23</v>
      </c>
      <c r="E767">
        <v>5</v>
      </c>
      <c r="F767" s="15">
        <v>2250</v>
      </c>
      <c r="G767" s="14">
        <v>800.55000000000007</v>
      </c>
      <c r="H767" s="14">
        <v>199.04255357142887</v>
      </c>
      <c r="I767" s="15">
        <v>450</v>
      </c>
    </row>
    <row r="768" spans="1:9" x14ac:dyDescent="0.3">
      <c r="A768" s="13" t="s">
        <v>32</v>
      </c>
      <c r="B768" s="13" t="s">
        <v>28</v>
      </c>
      <c r="C768" s="13" t="s">
        <v>16</v>
      </c>
      <c r="D768" s="13" t="s">
        <v>17</v>
      </c>
      <c r="E768">
        <v>25</v>
      </c>
      <c r="F768" s="15">
        <v>7475</v>
      </c>
      <c r="G768" s="14">
        <v>2330.2500000000005</v>
      </c>
      <c r="H768" s="14">
        <v>691.0382142857145</v>
      </c>
      <c r="I768" s="15">
        <v>299</v>
      </c>
    </row>
    <row r="769" spans="1:9" x14ac:dyDescent="0.3">
      <c r="A769" s="13" t="s">
        <v>32</v>
      </c>
      <c r="B769" s="13" t="s">
        <v>28</v>
      </c>
      <c r="C769" s="13" t="s">
        <v>10</v>
      </c>
      <c r="D769" s="13" t="s">
        <v>11</v>
      </c>
      <c r="E769">
        <v>5</v>
      </c>
      <c r="F769" s="15">
        <v>1675</v>
      </c>
      <c r="G769" s="14">
        <v>596.80000000000007</v>
      </c>
      <c r="H769" s="14">
        <v>148.77171428571444</v>
      </c>
      <c r="I769" s="15">
        <v>335</v>
      </c>
    </row>
    <row r="770" spans="1:9" x14ac:dyDescent="0.3">
      <c r="A770" s="13" t="s">
        <v>32</v>
      </c>
      <c r="B770" s="13" t="s">
        <v>28</v>
      </c>
      <c r="C770" s="13" t="s">
        <v>12</v>
      </c>
      <c r="D770" s="13" t="s">
        <v>11</v>
      </c>
      <c r="E770">
        <v>5</v>
      </c>
      <c r="F770" s="15">
        <v>3000</v>
      </c>
      <c r="G770" s="14">
        <v>759.7</v>
      </c>
      <c r="H770" s="14">
        <v>292.12585714285751</v>
      </c>
      <c r="I770" s="15">
        <v>600</v>
      </c>
    </row>
    <row r="771" spans="1:9" x14ac:dyDescent="0.3">
      <c r="A771" s="13" t="s">
        <v>32</v>
      </c>
      <c r="B771" s="13" t="s">
        <v>28</v>
      </c>
      <c r="C771" s="13" t="s">
        <v>22</v>
      </c>
      <c r="D771" s="13" t="s">
        <v>23</v>
      </c>
      <c r="E771">
        <v>5</v>
      </c>
      <c r="F771" s="15">
        <v>995</v>
      </c>
      <c r="G771" s="14">
        <v>272.8</v>
      </c>
      <c r="H771" s="14">
        <v>94.331142857142964</v>
      </c>
      <c r="I771" s="15">
        <v>199</v>
      </c>
    </row>
    <row r="772" spans="1:9" x14ac:dyDescent="0.3">
      <c r="A772" s="13" t="s">
        <v>32</v>
      </c>
      <c r="B772" s="13" t="s">
        <v>28</v>
      </c>
      <c r="C772" s="13" t="s">
        <v>24</v>
      </c>
      <c r="D772" s="13" t="s">
        <v>23</v>
      </c>
      <c r="E772">
        <v>15</v>
      </c>
      <c r="F772" s="15">
        <v>6750</v>
      </c>
      <c r="G772" s="14">
        <v>2401.65</v>
      </c>
      <c r="H772" s="14">
        <v>597.12766071428632</v>
      </c>
      <c r="I772" s="15">
        <v>450</v>
      </c>
    </row>
    <row r="773" spans="1:9" x14ac:dyDescent="0.3">
      <c r="A773" s="13" t="s">
        <v>32</v>
      </c>
      <c r="B773" s="13" t="s">
        <v>28</v>
      </c>
      <c r="C773" s="13" t="s">
        <v>16</v>
      </c>
      <c r="D773" s="13" t="s">
        <v>17</v>
      </c>
      <c r="E773">
        <v>15</v>
      </c>
      <c r="F773" s="15">
        <v>4485</v>
      </c>
      <c r="G773" s="14">
        <v>1398.15</v>
      </c>
      <c r="H773" s="14">
        <v>414.6229285714287</v>
      </c>
      <c r="I773" s="15">
        <v>299</v>
      </c>
    </row>
    <row r="774" spans="1:9" x14ac:dyDescent="0.3">
      <c r="A774" s="13" t="s">
        <v>32</v>
      </c>
      <c r="B774" s="13" t="s">
        <v>28</v>
      </c>
      <c r="C774" s="13" t="s">
        <v>10</v>
      </c>
      <c r="D774" s="13" t="s">
        <v>11</v>
      </c>
      <c r="E774">
        <v>5</v>
      </c>
      <c r="F774" s="15">
        <v>1675</v>
      </c>
      <c r="G774" s="14">
        <v>596.80000000000007</v>
      </c>
      <c r="H774" s="14">
        <v>148.77171428571444</v>
      </c>
      <c r="I774" s="15">
        <v>335</v>
      </c>
    </row>
    <row r="775" spans="1:9" x14ac:dyDescent="0.3">
      <c r="A775" s="13" t="s">
        <v>32</v>
      </c>
      <c r="B775" s="13" t="s">
        <v>28</v>
      </c>
      <c r="C775" s="13" t="s">
        <v>12</v>
      </c>
      <c r="D775" s="13" t="s">
        <v>11</v>
      </c>
      <c r="E775">
        <v>10</v>
      </c>
      <c r="F775" s="15">
        <v>6000</v>
      </c>
      <c r="G775" s="14">
        <v>1283.6000000000001</v>
      </c>
      <c r="H775" s="14">
        <v>593.3468571428574</v>
      </c>
      <c r="I775" s="15">
        <v>600</v>
      </c>
    </row>
    <row r="776" spans="1:9" x14ac:dyDescent="0.3">
      <c r="A776" s="13" t="s">
        <v>32</v>
      </c>
      <c r="B776" s="13" t="s">
        <v>28</v>
      </c>
      <c r="C776" s="13" t="s">
        <v>15</v>
      </c>
      <c r="D776" s="13" t="s">
        <v>14</v>
      </c>
      <c r="E776">
        <v>5</v>
      </c>
      <c r="F776" s="15">
        <v>825</v>
      </c>
      <c r="G776" s="14">
        <v>296.70000000000005</v>
      </c>
      <c r="H776" s="14">
        <v>72.816107142857192</v>
      </c>
      <c r="I776" s="15">
        <v>165</v>
      </c>
    </row>
    <row r="777" spans="1:9" x14ac:dyDescent="0.3">
      <c r="A777" s="13" t="s">
        <v>32</v>
      </c>
      <c r="B777" s="13" t="s">
        <v>28</v>
      </c>
      <c r="C777" s="13" t="s">
        <v>13</v>
      </c>
      <c r="D777" s="13" t="s">
        <v>14</v>
      </c>
      <c r="E777">
        <v>5</v>
      </c>
      <c r="F777" s="15">
        <v>1875</v>
      </c>
      <c r="G777" s="14">
        <v>764.95</v>
      </c>
      <c r="H777" s="14">
        <v>157.45462500000002</v>
      </c>
      <c r="I777" s="15">
        <v>375</v>
      </c>
    </row>
    <row r="778" spans="1:9" x14ac:dyDescent="0.3">
      <c r="A778" s="13" t="s">
        <v>32</v>
      </c>
      <c r="B778" s="13" t="s">
        <v>28</v>
      </c>
      <c r="C778" s="13" t="s">
        <v>16</v>
      </c>
      <c r="D778" s="13" t="s">
        <v>17</v>
      </c>
      <c r="E778">
        <v>5</v>
      </c>
      <c r="F778" s="15">
        <v>1495</v>
      </c>
      <c r="G778" s="14">
        <v>466.05000000000007</v>
      </c>
      <c r="H778" s="14">
        <v>138.2076428571429</v>
      </c>
      <c r="I778" s="15">
        <v>299</v>
      </c>
    </row>
    <row r="779" spans="1:9" x14ac:dyDescent="0.3">
      <c r="A779" s="13" t="s">
        <v>32</v>
      </c>
      <c r="B779" s="13" t="s">
        <v>28</v>
      </c>
      <c r="C779" s="13" t="s">
        <v>10</v>
      </c>
      <c r="D779" s="13" t="s">
        <v>11</v>
      </c>
      <c r="E779">
        <v>10</v>
      </c>
      <c r="F779" s="15">
        <v>3350</v>
      </c>
      <c r="G779" s="14">
        <v>1193.6000000000001</v>
      </c>
      <c r="H779" s="14">
        <v>297.54342857142888</v>
      </c>
      <c r="I779" s="15">
        <v>335</v>
      </c>
    </row>
    <row r="780" spans="1:9" x14ac:dyDescent="0.3">
      <c r="A780" s="13" t="s">
        <v>32</v>
      </c>
      <c r="B780" s="13" t="s">
        <v>28</v>
      </c>
      <c r="C780" s="13" t="s">
        <v>12</v>
      </c>
      <c r="D780" s="13" t="s">
        <v>11</v>
      </c>
      <c r="E780">
        <v>10</v>
      </c>
      <c r="F780" s="15">
        <v>6000</v>
      </c>
      <c r="G780" s="14">
        <v>1401.5</v>
      </c>
      <c r="H780" s="14">
        <v>588.7992857142865</v>
      </c>
      <c r="I780" s="15">
        <v>600</v>
      </c>
    </row>
    <row r="781" spans="1:9" x14ac:dyDescent="0.3">
      <c r="A781" s="13" t="s">
        <v>32</v>
      </c>
      <c r="B781" s="13" t="s">
        <v>28</v>
      </c>
      <c r="C781" s="13" t="s">
        <v>16</v>
      </c>
      <c r="D781" s="13" t="s">
        <v>17</v>
      </c>
      <c r="E781">
        <v>15</v>
      </c>
      <c r="F781" s="15">
        <v>4485</v>
      </c>
      <c r="G781" s="14">
        <v>1346.75</v>
      </c>
      <c r="H781" s="14">
        <v>417.04607142857185</v>
      </c>
      <c r="I781" s="15">
        <v>299</v>
      </c>
    </row>
    <row r="782" spans="1:9" x14ac:dyDescent="0.3">
      <c r="A782" s="13" t="s">
        <v>32</v>
      </c>
      <c r="B782" s="13" t="s">
        <v>28</v>
      </c>
      <c r="C782" s="13" t="s">
        <v>18</v>
      </c>
      <c r="D782" s="13" t="s">
        <v>17</v>
      </c>
      <c r="E782">
        <v>10</v>
      </c>
      <c r="F782" s="15">
        <v>5750</v>
      </c>
      <c r="G782" s="14">
        <v>1550</v>
      </c>
      <c r="H782" s="14">
        <v>552.96428571428635</v>
      </c>
      <c r="I782" s="15">
        <v>575</v>
      </c>
    </row>
    <row r="783" spans="1:9" x14ac:dyDescent="0.3">
      <c r="A783" s="13" t="s">
        <v>32</v>
      </c>
      <c r="B783" s="13" t="s">
        <v>28</v>
      </c>
      <c r="C783" s="13" t="s">
        <v>15</v>
      </c>
      <c r="D783" s="13" t="s">
        <v>14</v>
      </c>
      <c r="E783">
        <v>5</v>
      </c>
      <c r="F783" s="15">
        <v>825</v>
      </c>
      <c r="G783" s="14">
        <v>323.10000000000002</v>
      </c>
      <c r="H783" s="14">
        <v>71.430107142857224</v>
      </c>
      <c r="I783" s="15">
        <v>165</v>
      </c>
    </row>
    <row r="784" spans="1:9" x14ac:dyDescent="0.3">
      <c r="A784" s="13" t="s">
        <v>32</v>
      </c>
      <c r="B784" s="13" t="s">
        <v>28</v>
      </c>
      <c r="C784" s="13" t="s">
        <v>24</v>
      </c>
      <c r="D784" s="13" t="s">
        <v>23</v>
      </c>
      <c r="E784">
        <v>10</v>
      </c>
      <c r="F784" s="15">
        <v>4500</v>
      </c>
      <c r="G784" s="14">
        <v>1532</v>
      </c>
      <c r="H784" s="14">
        <v>401.71285714285773</v>
      </c>
      <c r="I784" s="15">
        <v>450</v>
      </c>
    </row>
    <row r="785" spans="1:9" x14ac:dyDescent="0.3">
      <c r="A785" s="13" t="s">
        <v>32</v>
      </c>
      <c r="B785" s="13" t="s">
        <v>28</v>
      </c>
      <c r="C785" s="13" t="s">
        <v>16</v>
      </c>
      <c r="D785" s="13" t="s">
        <v>17</v>
      </c>
      <c r="E785">
        <v>10</v>
      </c>
      <c r="F785" s="15">
        <v>2990</v>
      </c>
      <c r="G785" s="14">
        <v>932.10000000000014</v>
      </c>
      <c r="H785" s="14">
        <v>276.4152857142858</v>
      </c>
      <c r="I785" s="15">
        <v>299</v>
      </c>
    </row>
    <row r="786" spans="1:9" x14ac:dyDescent="0.3">
      <c r="A786" s="13" t="s">
        <v>32</v>
      </c>
      <c r="B786" s="13" t="s">
        <v>28</v>
      </c>
      <c r="C786" s="13" t="s">
        <v>18</v>
      </c>
      <c r="D786" s="13" t="s">
        <v>17</v>
      </c>
      <c r="E786">
        <v>10</v>
      </c>
      <c r="F786" s="15">
        <v>5750</v>
      </c>
      <c r="G786" s="14">
        <v>1328.9999999999998</v>
      </c>
      <c r="H786" s="14">
        <v>561.96214285714348</v>
      </c>
      <c r="I786" s="15">
        <v>575</v>
      </c>
    </row>
    <row r="787" spans="1:9" x14ac:dyDescent="0.3">
      <c r="A787" s="13" t="s">
        <v>32</v>
      </c>
      <c r="B787" s="13" t="s">
        <v>28</v>
      </c>
      <c r="C787" s="13" t="s">
        <v>10</v>
      </c>
      <c r="D787" s="13" t="s">
        <v>11</v>
      </c>
      <c r="E787">
        <v>5</v>
      </c>
      <c r="F787" s="15">
        <v>1675</v>
      </c>
      <c r="G787" s="14">
        <v>596.80000000000007</v>
      </c>
      <c r="H787" s="14">
        <v>148.77171428571444</v>
      </c>
      <c r="I787" s="15">
        <v>335</v>
      </c>
    </row>
    <row r="788" spans="1:9" x14ac:dyDescent="0.3">
      <c r="A788" s="13" t="s">
        <v>32</v>
      </c>
      <c r="B788" s="13" t="s">
        <v>28</v>
      </c>
      <c r="C788" s="13" t="s">
        <v>12</v>
      </c>
      <c r="D788" s="13" t="s">
        <v>11</v>
      </c>
      <c r="E788">
        <v>10</v>
      </c>
      <c r="F788" s="15">
        <v>6000</v>
      </c>
      <c r="G788" s="14">
        <v>1168.6000000000001</v>
      </c>
      <c r="H788" s="14">
        <v>597.78257142857171</v>
      </c>
      <c r="I788" s="15">
        <v>600</v>
      </c>
    </row>
    <row r="789" spans="1:9" x14ac:dyDescent="0.3">
      <c r="A789" s="13" t="s">
        <v>32</v>
      </c>
      <c r="B789" s="13" t="s">
        <v>28</v>
      </c>
      <c r="C789" s="13" t="s">
        <v>15</v>
      </c>
      <c r="D789" s="13" t="s">
        <v>14</v>
      </c>
      <c r="E789">
        <v>10</v>
      </c>
      <c r="F789" s="15">
        <v>1650</v>
      </c>
      <c r="G789" s="14">
        <v>619.80000000000007</v>
      </c>
      <c r="H789" s="14">
        <v>144.24621428571442</v>
      </c>
      <c r="I789" s="15">
        <v>165</v>
      </c>
    </row>
    <row r="790" spans="1:9" x14ac:dyDescent="0.3">
      <c r="A790" s="13" t="s">
        <v>32</v>
      </c>
      <c r="B790" s="13" t="s">
        <v>28</v>
      </c>
      <c r="C790" s="13" t="s">
        <v>13</v>
      </c>
      <c r="D790" s="13" t="s">
        <v>14</v>
      </c>
      <c r="E790">
        <v>15</v>
      </c>
      <c r="F790" s="15">
        <v>5625</v>
      </c>
      <c r="G790" s="14">
        <v>2350.3500000000004</v>
      </c>
      <c r="H790" s="14">
        <v>469.21226785714339</v>
      </c>
      <c r="I790" s="15">
        <v>375</v>
      </c>
    </row>
    <row r="791" spans="1:9" x14ac:dyDescent="0.3">
      <c r="A791" s="13" t="s">
        <v>32</v>
      </c>
      <c r="B791" s="13" t="s">
        <v>28</v>
      </c>
      <c r="C791" s="13" t="s">
        <v>16</v>
      </c>
      <c r="D791" s="13" t="s">
        <v>17</v>
      </c>
      <c r="E791">
        <v>20</v>
      </c>
      <c r="F791" s="15">
        <v>5980</v>
      </c>
      <c r="G791" s="14">
        <v>1812.8000000000002</v>
      </c>
      <c r="H791" s="14">
        <v>555.25371428571475</v>
      </c>
      <c r="I791" s="15">
        <v>299</v>
      </c>
    </row>
    <row r="792" spans="1:9" x14ac:dyDescent="0.3">
      <c r="A792" s="13" t="s">
        <v>32</v>
      </c>
      <c r="B792" s="13" t="s">
        <v>28</v>
      </c>
      <c r="C792" s="13" t="s">
        <v>18</v>
      </c>
      <c r="D792" s="13" t="s">
        <v>17</v>
      </c>
      <c r="E792">
        <v>35</v>
      </c>
      <c r="F792" s="15">
        <v>20125</v>
      </c>
      <c r="G792" s="14">
        <v>5093.5</v>
      </c>
      <c r="H792" s="14">
        <v>1948.8717857142865</v>
      </c>
      <c r="I792" s="15">
        <v>575</v>
      </c>
    </row>
    <row r="793" spans="1:9" x14ac:dyDescent="0.3">
      <c r="A793" s="13" t="s">
        <v>32</v>
      </c>
      <c r="B793" s="13" t="s">
        <v>28</v>
      </c>
      <c r="C793" s="13" t="s">
        <v>10</v>
      </c>
      <c r="D793" s="13" t="s">
        <v>11</v>
      </c>
      <c r="E793">
        <v>10</v>
      </c>
      <c r="F793" s="15">
        <v>3350</v>
      </c>
      <c r="G793" s="14">
        <v>1193.6000000000001</v>
      </c>
      <c r="H793" s="14">
        <v>297.54342857142888</v>
      </c>
      <c r="I793" s="15">
        <v>335</v>
      </c>
    </row>
    <row r="794" spans="1:9" x14ac:dyDescent="0.3">
      <c r="A794" s="13" t="s">
        <v>32</v>
      </c>
      <c r="B794" s="13" t="s">
        <v>28</v>
      </c>
      <c r="C794" s="13" t="s">
        <v>15</v>
      </c>
      <c r="D794" s="13" t="s">
        <v>14</v>
      </c>
      <c r="E794">
        <v>80</v>
      </c>
      <c r="F794" s="15">
        <v>13200</v>
      </c>
      <c r="G794" s="14">
        <v>4748.5000000000009</v>
      </c>
      <c r="H794" s="14">
        <v>1164.9894642857157</v>
      </c>
      <c r="I794" s="15">
        <v>165</v>
      </c>
    </row>
    <row r="795" spans="1:9" x14ac:dyDescent="0.3">
      <c r="A795" s="13" t="s">
        <v>32</v>
      </c>
      <c r="B795" s="13" t="s">
        <v>28</v>
      </c>
      <c r="C795" s="13" t="s">
        <v>13</v>
      </c>
      <c r="D795" s="13" t="s">
        <v>14</v>
      </c>
      <c r="E795">
        <v>10</v>
      </c>
      <c r="F795" s="15">
        <v>3750</v>
      </c>
      <c r="G795" s="14">
        <v>1585.4</v>
      </c>
      <c r="H795" s="14">
        <v>311.75764285714308</v>
      </c>
      <c r="I795" s="15">
        <v>375</v>
      </c>
    </row>
    <row r="796" spans="1:9" x14ac:dyDescent="0.3">
      <c r="A796" s="13" t="s">
        <v>32</v>
      </c>
      <c r="B796" s="13" t="s">
        <v>28</v>
      </c>
      <c r="C796" s="13" t="s">
        <v>16</v>
      </c>
      <c r="D796" s="13" t="s">
        <v>17</v>
      </c>
      <c r="E796">
        <v>5</v>
      </c>
      <c r="F796" s="15">
        <v>1495</v>
      </c>
      <c r="G796" s="14">
        <v>466.05000000000007</v>
      </c>
      <c r="H796" s="14">
        <v>138.2076428571429</v>
      </c>
      <c r="I796" s="15">
        <v>299</v>
      </c>
    </row>
    <row r="797" spans="1:9" x14ac:dyDescent="0.3">
      <c r="A797" s="13" t="s">
        <v>32</v>
      </c>
      <c r="B797" s="13" t="s">
        <v>28</v>
      </c>
      <c r="C797" s="13" t="s">
        <v>10</v>
      </c>
      <c r="D797" s="13" t="s">
        <v>11</v>
      </c>
      <c r="E797">
        <v>10</v>
      </c>
      <c r="F797" s="15">
        <v>3350</v>
      </c>
      <c r="G797" s="14">
        <v>1193.6000000000001</v>
      </c>
      <c r="H797" s="14">
        <v>297.54342857142888</v>
      </c>
      <c r="I797" s="15">
        <v>335</v>
      </c>
    </row>
    <row r="798" spans="1:9" x14ac:dyDescent="0.3">
      <c r="A798" s="13" t="s">
        <v>32</v>
      </c>
      <c r="B798" s="13" t="s">
        <v>28</v>
      </c>
      <c r="C798" s="13" t="s">
        <v>12</v>
      </c>
      <c r="D798" s="13" t="s">
        <v>11</v>
      </c>
      <c r="E798">
        <v>5</v>
      </c>
      <c r="F798" s="15">
        <v>3000</v>
      </c>
      <c r="G798" s="14">
        <v>759.7</v>
      </c>
      <c r="H798" s="14">
        <v>292.12585714285751</v>
      </c>
      <c r="I798" s="15">
        <v>600</v>
      </c>
    </row>
    <row r="799" spans="1:9" x14ac:dyDescent="0.3">
      <c r="A799" s="13" t="s">
        <v>32</v>
      </c>
      <c r="B799" s="13" t="s">
        <v>28</v>
      </c>
      <c r="C799" s="13" t="s">
        <v>15</v>
      </c>
      <c r="D799" s="13" t="s">
        <v>14</v>
      </c>
      <c r="E799">
        <v>5</v>
      </c>
      <c r="F799" s="15">
        <v>825</v>
      </c>
      <c r="G799" s="14">
        <v>296.70000000000005</v>
      </c>
      <c r="H799" s="14">
        <v>72.816107142857192</v>
      </c>
      <c r="I799" s="15">
        <v>165</v>
      </c>
    </row>
    <row r="800" spans="1:9" x14ac:dyDescent="0.3">
      <c r="A800" s="13" t="s">
        <v>32</v>
      </c>
      <c r="B800" s="13" t="s">
        <v>28</v>
      </c>
      <c r="C800" s="13" t="s">
        <v>13</v>
      </c>
      <c r="D800" s="13" t="s">
        <v>14</v>
      </c>
      <c r="E800">
        <v>10</v>
      </c>
      <c r="F800" s="15">
        <v>3750</v>
      </c>
      <c r="G800" s="14">
        <v>1529.9</v>
      </c>
      <c r="H800" s="14">
        <v>314.90925000000004</v>
      </c>
      <c r="I800" s="15">
        <v>375</v>
      </c>
    </row>
    <row r="801" spans="1:9" x14ac:dyDescent="0.3">
      <c r="A801" s="13" t="s">
        <v>32</v>
      </c>
      <c r="B801" s="13" t="s">
        <v>28</v>
      </c>
      <c r="C801" s="13" t="s">
        <v>24</v>
      </c>
      <c r="D801" s="13" t="s">
        <v>23</v>
      </c>
      <c r="E801">
        <v>5</v>
      </c>
      <c r="F801" s="15">
        <v>2250</v>
      </c>
      <c r="G801" s="14">
        <v>800.55000000000007</v>
      </c>
      <c r="H801" s="14">
        <v>199.04255357142887</v>
      </c>
      <c r="I801" s="15">
        <v>450</v>
      </c>
    </row>
    <row r="802" spans="1:9" x14ac:dyDescent="0.3">
      <c r="A802" s="13" t="s">
        <v>32</v>
      </c>
      <c r="B802" s="13" t="s">
        <v>28</v>
      </c>
      <c r="C802" s="13" t="s">
        <v>16</v>
      </c>
      <c r="D802" s="13" t="s">
        <v>17</v>
      </c>
      <c r="E802">
        <v>10</v>
      </c>
      <c r="F802" s="15">
        <v>2990</v>
      </c>
      <c r="G802" s="14">
        <v>932.10000000000014</v>
      </c>
      <c r="H802" s="14">
        <v>276.4152857142858</v>
      </c>
      <c r="I802" s="15">
        <v>299</v>
      </c>
    </row>
    <row r="803" spans="1:9" x14ac:dyDescent="0.3">
      <c r="A803" s="13" t="s">
        <v>32</v>
      </c>
      <c r="B803" s="13" t="s">
        <v>28</v>
      </c>
      <c r="C803" s="13" t="s">
        <v>18</v>
      </c>
      <c r="D803" s="13" t="s">
        <v>17</v>
      </c>
      <c r="E803">
        <v>15</v>
      </c>
      <c r="F803" s="15">
        <v>8625</v>
      </c>
      <c r="G803" s="14">
        <v>2104</v>
      </c>
      <c r="H803" s="14">
        <v>838.44428571428693</v>
      </c>
      <c r="I803" s="15">
        <v>575</v>
      </c>
    </row>
    <row r="804" spans="1:9" x14ac:dyDescent="0.3">
      <c r="A804" s="13" t="s">
        <v>32</v>
      </c>
      <c r="B804" s="13" t="s">
        <v>28</v>
      </c>
      <c r="C804" s="13" t="s">
        <v>10</v>
      </c>
      <c r="D804" s="13" t="s">
        <v>11</v>
      </c>
      <c r="E804">
        <v>10</v>
      </c>
      <c r="F804" s="15">
        <v>3350</v>
      </c>
      <c r="G804" s="14">
        <v>1193.6000000000001</v>
      </c>
      <c r="H804" s="14">
        <v>297.54342857142888</v>
      </c>
      <c r="I804" s="15">
        <v>335</v>
      </c>
    </row>
    <row r="805" spans="1:9" x14ac:dyDescent="0.3">
      <c r="A805" s="13" t="s">
        <v>32</v>
      </c>
      <c r="B805" s="13" t="s">
        <v>28</v>
      </c>
      <c r="C805" s="13" t="s">
        <v>12</v>
      </c>
      <c r="D805" s="13" t="s">
        <v>11</v>
      </c>
      <c r="E805">
        <v>5</v>
      </c>
      <c r="F805" s="15">
        <v>3000</v>
      </c>
      <c r="G805" s="14">
        <v>641.80000000000007</v>
      </c>
      <c r="H805" s="14">
        <v>296.6734285714287</v>
      </c>
      <c r="I805" s="15">
        <v>600</v>
      </c>
    </row>
    <row r="806" spans="1:9" x14ac:dyDescent="0.3">
      <c r="A806" s="13" t="s">
        <v>32</v>
      </c>
      <c r="B806" s="13" t="s">
        <v>28</v>
      </c>
      <c r="C806" s="13" t="s">
        <v>22</v>
      </c>
      <c r="D806" s="13" t="s">
        <v>23</v>
      </c>
      <c r="E806">
        <v>5</v>
      </c>
      <c r="F806" s="15">
        <v>995</v>
      </c>
      <c r="G806" s="14">
        <v>272.8</v>
      </c>
      <c r="H806" s="14">
        <v>94.331142857142964</v>
      </c>
      <c r="I806" s="15">
        <v>199</v>
      </c>
    </row>
    <row r="807" spans="1:9" x14ac:dyDescent="0.3">
      <c r="A807" s="13" t="s">
        <v>32</v>
      </c>
      <c r="B807" s="13" t="s">
        <v>28</v>
      </c>
      <c r="C807" s="13" t="s">
        <v>16</v>
      </c>
      <c r="D807" s="13" t="s">
        <v>17</v>
      </c>
      <c r="E807">
        <v>5</v>
      </c>
      <c r="F807" s="15">
        <v>1495</v>
      </c>
      <c r="G807" s="14">
        <v>466.05000000000007</v>
      </c>
      <c r="H807" s="14">
        <v>138.2076428571429</v>
      </c>
      <c r="I807" s="15">
        <v>299</v>
      </c>
    </row>
    <row r="808" spans="1:9" x14ac:dyDescent="0.3">
      <c r="A808" s="13" t="s">
        <v>32</v>
      </c>
      <c r="B808" s="13" t="s">
        <v>28</v>
      </c>
      <c r="C808" s="13" t="s">
        <v>18</v>
      </c>
      <c r="D808" s="13" t="s">
        <v>17</v>
      </c>
      <c r="E808">
        <v>5</v>
      </c>
      <c r="F808" s="15">
        <v>2875</v>
      </c>
      <c r="G808" s="14">
        <v>775</v>
      </c>
      <c r="H808" s="14">
        <v>276.48214285714317</v>
      </c>
      <c r="I808" s="15">
        <v>575</v>
      </c>
    </row>
    <row r="809" spans="1:9" x14ac:dyDescent="0.3">
      <c r="A809" s="13" t="s">
        <v>32</v>
      </c>
      <c r="B809" s="13" t="s">
        <v>28</v>
      </c>
      <c r="C809" s="13" t="s">
        <v>10</v>
      </c>
      <c r="D809" s="13" t="s">
        <v>11</v>
      </c>
      <c r="E809">
        <v>5</v>
      </c>
      <c r="F809" s="15">
        <v>1675</v>
      </c>
      <c r="G809" s="14">
        <v>596.80000000000007</v>
      </c>
      <c r="H809" s="14">
        <v>148.77171428571444</v>
      </c>
      <c r="I809" s="15">
        <v>335</v>
      </c>
    </row>
    <row r="810" spans="1:9" x14ac:dyDescent="0.3">
      <c r="A810" s="13" t="s">
        <v>32</v>
      </c>
      <c r="B810" s="13" t="s">
        <v>28</v>
      </c>
      <c r="C810" s="13" t="s">
        <v>12</v>
      </c>
      <c r="D810" s="13" t="s">
        <v>11</v>
      </c>
      <c r="E810">
        <v>5</v>
      </c>
      <c r="F810" s="15">
        <v>3000</v>
      </c>
      <c r="G810" s="14">
        <v>641.80000000000007</v>
      </c>
      <c r="H810" s="14">
        <v>296.6734285714287</v>
      </c>
      <c r="I810" s="15">
        <v>600</v>
      </c>
    </row>
    <row r="811" spans="1:9" x14ac:dyDescent="0.3">
      <c r="A811" s="13" t="s">
        <v>32</v>
      </c>
      <c r="B811" s="13" t="s">
        <v>28</v>
      </c>
      <c r="C811" s="13" t="s">
        <v>15</v>
      </c>
      <c r="D811" s="13" t="s">
        <v>14</v>
      </c>
      <c r="E811">
        <v>5</v>
      </c>
      <c r="F811" s="15">
        <v>825</v>
      </c>
      <c r="G811" s="14">
        <v>296.70000000000005</v>
      </c>
      <c r="H811" s="14">
        <v>72.816107142857192</v>
      </c>
      <c r="I811" s="15">
        <v>165</v>
      </c>
    </row>
    <row r="812" spans="1:9" x14ac:dyDescent="0.3">
      <c r="A812" s="13" t="s">
        <v>32</v>
      </c>
      <c r="B812" s="13" t="s">
        <v>28</v>
      </c>
      <c r="C812" s="13" t="s">
        <v>24</v>
      </c>
      <c r="D812" s="13" t="s">
        <v>23</v>
      </c>
      <c r="E812">
        <v>15</v>
      </c>
      <c r="F812" s="15">
        <v>6750</v>
      </c>
      <c r="G812" s="14">
        <v>2401.65</v>
      </c>
      <c r="H812" s="14">
        <v>597.12766071428632</v>
      </c>
      <c r="I812" s="15">
        <v>450</v>
      </c>
    </row>
    <row r="813" spans="1:9" x14ac:dyDescent="0.3">
      <c r="A813" s="13" t="s">
        <v>32</v>
      </c>
      <c r="B813" s="13" t="s">
        <v>28</v>
      </c>
      <c r="C813" s="13" t="s">
        <v>16</v>
      </c>
      <c r="D813" s="13" t="s">
        <v>17</v>
      </c>
      <c r="E813">
        <v>5</v>
      </c>
      <c r="F813" s="15">
        <v>1495</v>
      </c>
      <c r="G813" s="14">
        <v>466.05000000000007</v>
      </c>
      <c r="H813" s="14">
        <v>138.2076428571429</v>
      </c>
      <c r="I813" s="15">
        <v>299</v>
      </c>
    </row>
    <row r="814" spans="1:9" x14ac:dyDescent="0.3">
      <c r="A814" s="13" t="s">
        <v>32</v>
      </c>
      <c r="B814" s="13" t="s">
        <v>28</v>
      </c>
      <c r="C814" s="13" t="s">
        <v>18</v>
      </c>
      <c r="D814" s="13" t="s">
        <v>17</v>
      </c>
      <c r="E814">
        <v>30</v>
      </c>
      <c r="F814" s="15">
        <v>17250</v>
      </c>
      <c r="G814" s="14">
        <v>3881.9</v>
      </c>
      <c r="H814" s="14">
        <v>1690.1655000000005</v>
      </c>
      <c r="I814" s="15">
        <v>575</v>
      </c>
    </row>
    <row r="815" spans="1:9" x14ac:dyDescent="0.3">
      <c r="A815" s="13" t="s">
        <v>32</v>
      </c>
      <c r="B815" s="13" t="s">
        <v>28</v>
      </c>
      <c r="C815" s="13" t="s">
        <v>13</v>
      </c>
      <c r="D815" s="13" t="s">
        <v>14</v>
      </c>
      <c r="E815">
        <v>5</v>
      </c>
      <c r="F815" s="15">
        <v>1875</v>
      </c>
      <c r="G815" s="14">
        <v>764.95</v>
      </c>
      <c r="H815" s="14">
        <v>157.45462500000002</v>
      </c>
      <c r="I815" s="15">
        <v>375</v>
      </c>
    </row>
    <row r="816" spans="1:9" x14ac:dyDescent="0.3">
      <c r="A816" s="13" t="s">
        <v>32</v>
      </c>
      <c r="B816" s="13" t="s">
        <v>28</v>
      </c>
      <c r="C816" s="13" t="s">
        <v>16</v>
      </c>
      <c r="D816" s="13" t="s">
        <v>17</v>
      </c>
      <c r="E816">
        <v>5</v>
      </c>
      <c r="F816" s="15">
        <v>1495</v>
      </c>
      <c r="G816" s="14">
        <v>466.05000000000007</v>
      </c>
      <c r="H816" s="14">
        <v>138.2076428571429</v>
      </c>
      <c r="I816" s="15">
        <v>299</v>
      </c>
    </row>
    <row r="817" spans="1:9" x14ac:dyDescent="0.3">
      <c r="A817" s="13" t="s">
        <v>32</v>
      </c>
      <c r="B817" s="13" t="s">
        <v>28</v>
      </c>
      <c r="C817" s="13" t="s">
        <v>18</v>
      </c>
      <c r="D817" s="13" t="s">
        <v>17</v>
      </c>
      <c r="E817">
        <v>10</v>
      </c>
      <c r="F817" s="15">
        <v>5750</v>
      </c>
      <c r="G817" s="14">
        <v>1439.5</v>
      </c>
      <c r="H817" s="14">
        <v>557.46321428571491</v>
      </c>
      <c r="I817" s="15">
        <v>575</v>
      </c>
    </row>
    <row r="818" spans="1:9" x14ac:dyDescent="0.3">
      <c r="A818" s="13" t="s">
        <v>32</v>
      </c>
      <c r="B818" s="13" t="s">
        <v>28</v>
      </c>
      <c r="C818" s="13" t="s">
        <v>12</v>
      </c>
      <c r="D818" s="13" t="s">
        <v>11</v>
      </c>
      <c r="E818">
        <v>10</v>
      </c>
      <c r="F818" s="15">
        <v>6000</v>
      </c>
      <c r="G818" s="14">
        <v>1519.4</v>
      </c>
      <c r="H818" s="14">
        <v>584.25171428571502</v>
      </c>
      <c r="I818" s="15">
        <v>600</v>
      </c>
    </row>
    <row r="819" spans="1:9" x14ac:dyDescent="0.3">
      <c r="A819" s="13" t="s">
        <v>32</v>
      </c>
      <c r="B819" s="13" t="s">
        <v>28</v>
      </c>
      <c r="C819" s="13" t="s">
        <v>24</v>
      </c>
      <c r="D819" s="13" t="s">
        <v>23</v>
      </c>
      <c r="E819">
        <v>10</v>
      </c>
      <c r="F819" s="15">
        <v>4500</v>
      </c>
      <c r="G819" s="14">
        <v>1601.1000000000001</v>
      </c>
      <c r="H819" s="14">
        <v>398.08510714285774</v>
      </c>
      <c r="I819" s="15">
        <v>450</v>
      </c>
    </row>
    <row r="820" spans="1:9" x14ac:dyDescent="0.3">
      <c r="A820" s="13" t="s">
        <v>32</v>
      </c>
      <c r="B820" s="13" t="s">
        <v>28</v>
      </c>
      <c r="C820" s="13" t="s">
        <v>16</v>
      </c>
      <c r="D820" s="13" t="s">
        <v>17</v>
      </c>
      <c r="E820">
        <v>5</v>
      </c>
      <c r="F820" s="15">
        <v>1495</v>
      </c>
      <c r="G820" s="14">
        <v>466.05000000000007</v>
      </c>
      <c r="H820" s="14">
        <v>138.2076428571429</v>
      </c>
      <c r="I820" s="15">
        <v>299</v>
      </c>
    </row>
    <row r="821" spans="1:9" x14ac:dyDescent="0.3">
      <c r="A821" s="13" t="s">
        <v>32</v>
      </c>
      <c r="B821" s="13" t="s">
        <v>28</v>
      </c>
      <c r="C821" s="13" t="s">
        <v>18</v>
      </c>
      <c r="D821" s="13" t="s">
        <v>17</v>
      </c>
      <c r="E821">
        <v>5</v>
      </c>
      <c r="F821" s="15">
        <v>2875</v>
      </c>
      <c r="G821" s="14">
        <v>775</v>
      </c>
      <c r="H821" s="14">
        <v>276.48214285714317</v>
      </c>
      <c r="I821" s="15">
        <v>575</v>
      </c>
    </row>
    <row r="822" spans="1:9" x14ac:dyDescent="0.3">
      <c r="A822" s="13" t="s">
        <v>32</v>
      </c>
      <c r="B822" s="13" t="s">
        <v>28</v>
      </c>
      <c r="C822" s="13" t="s">
        <v>10</v>
      </c>
      <c r="D822" s="13" t="s">
        <v>11</v>
      </c>
      <c r="E822">
        <v>10</v>
      </c>
      <c r="F822" s="15">
        <v>3350</v>
      </c>
      <c r="G822" s="14">
        <v>1193.6000000000001</v>
      </c>
      <c r="H822" s="14">
        <v>297.54342857142888</v>
      </c>
      <c r="I822" s="15">
        <v>335</v>
      </c>
    </row>
    <row r="823" spans="1:9" x14ac:dyDescent="0.3">
      <c r="A823" s="13" t="s">
        <v>32</v>
      </c>
      <c r="B823" s="13" t="s">
        <v>28</v>
      </c>
      <c r="C823" s="13" t="s">
        <v>15</v>
      </c>
      <c r="D823" s="13" t="s">
        <v>14</v>
      </c>
      <c r="E823">
        <v>5</v>
      </c>
      <c r="F823" s="15">
        <v>825</v>
      </c>
      <c r="G823" s="14">
        <v>296.70000000000005</v>
      </c>
      <c r="H823" s="14">
        <v>72.816107142857192</v>
      </c>
      <c r="I823" s="15">
        <v>165</v>
      </c>
    </row>
    <row r="824" spans="1:9" x14ac:dyDescent="0.3">
      <c r="A824" s="13" t="s">
        <v>32</v>
      </c>
      <c r="B824" s="13" t="s">
        <v>28</v>
      </c>
      <c r="C824" s="13" t="s">
        <v>16</v>
      </c>
      <c r="D824" s="13" t="s">
        <v>17</v>
      </c>
      <c r="E824">
        <v>15</v>
      </c>
      <c r="F824" s="15">
        <v>4485</v>
      </c>
      <c r="G824" s="14">
        <v>1398.15</v>
      </c>
      <c r="H824" s="14">
        <v>414.6229285714287</v>
      </c>
      <c r="I824" s="15">
        <v>299</v>
      </c>
    </row>
    <row r="825" spans="1:9" x14ac:dyDescent="0.3">
      <c r="A825" s="13" t="s">
        <v>32</v>
      </c>
      <c r="B825" s="13" t="s">
        <v>28</v>
      </c>
      <c r="C825" s="13" t="s">
        <v>18</v>
      </c>
      <c r="D825" s="13" t="s">
        <v>17</v>
      </c>
      <c r="E825">
        <v>5</v>
      </c>
      <c r="F825" s="15">
        <v>2875</v>
      </c>
      <c r="G825" s="14">
        <v>664.49999999999989</v>
      </c>
      <c r="H825" s="14">
        <v>280.98107142857174</v>
      </c>
      <c r="I825" s="15">
        <v>575</v>
      </c>
    </row>
    <row r="826" spans="1:9" x14ac:dyDescent="0.3">
      <c r="A826" s="13" t="s">
        <v>32</v>
      </c>
      <c r="B826" s="13" t="s">
        <v>28</v>
      </c>
      <c r="C826" s="13" t="s">
        <v>10</v>
      </c>
      <c r="D826" s="13" t="s">
        <v>11</v>
      </c>
      <c r="E826">
        <v>20</v>
      </c>
      <c r="F826" s="15">
        <v>6700</v>
      </c>
      <c r="G826" s="14">
        <v>2387.2000000000003</v>
      </c>
      <c r="H826" s="14">
        <v>595.08685714285775</v>
      </c>
      <c r="I826" s="15">
        <v>335</v>
      </c>
    </row>
    <row r="827" spans="1:9" x14ac:dyDescent="0.3">
      <c r="A827" s="13" t="s">
        <v>32</v>
      </c>
      <c r="B827" s="13" t="s">
        <v>28</v>
      </c>
      <c r="C827" s="13" t="s">
        <v>15</v>
      </c>
      <c r="D827" s="13" t="s">
        <v>14</v>
      </c>
      <c r="E827">
        <v>10</v>
      </c>
      <c r="F827" s="15">
        <v>1650</v>
      </c>
      <c r="G827" s="14">
        <v>619.80000000000007</v>
      </c>
      <c r="H827" s="14">
        <v>144.24621428571442</v>
      </c>
      <c r="I827" s="15">
        <v>165</v>
      </c>
    </row>
    <row r="828" spans="1:9" x14ac:dyDescent="0.3">
      <c r="A828" s="13" t="s">
        <v>32</v>
      </c>
      <c r="B828" s="13" t="s">
        <v>28</v>
      </c>
      <c r="C828" s="13" t="s">
        <v>22</v>
      </c>
      <c r="D828" s="13" t="s">
        <v>23</v>
      </c>
      <c r="E828">
        <v>5</v>
      </c>
      <c r="F828" s="15">
        <v>995</v>
      </c>
      <c r="G828" s="14">
        <v>272.8</v>
      </c>
      <c r="H828" s="14">
        <v>94.331142857142964</v>
      </c>
      <c r="I828" s="15">
        <v>199</v>
      </c>
    </row>
    <row r="829" spans="1:9" x14ac:dyDescent="0.3">
      <c r="A829" s="13" t="s">
        <v>32</v>
      </c>
      <c r="B829" s="13" t="s">
        <v>28</v>
      </c>
      <c r="C829" s="13" t="s">
        <v>16</v>
      </c>
      <c r="D829" s="13" t="s">
        <v>17</v>
      </c>
      <c r="E829">
        <v>5</v>
      </c>
      <c r="F829" s="15">
        <v>1495</v>
      </c>
      <c r="G829" s="14">
        <v>466.05000000000007</v>
      </c>
      <c r="H829" s="14">
        <v>138.2076428571429</v>
      </c>
      <c r="I829" s="15">
        <v>299</v>
      </c>
    </row>
    <row r="830" spans="1:9" x14ac:dyDescent="0.3">
      <c r="A830" s="13" t="s">
        <v>32</v>
      </c>
      <c r="B830" s="13" t="s">
        <v>28</v>
      </c>
      <c r="C830" s="13" t="s">
        <v>18</v>
      </c>
      <c r="D830" s="13" t="s">
        <v>17</v>
      </c>
      <c r="E830">
        <v>5</v>
      </c>
      <c r="F830" s="15">
        <v>2875</v>
      </c>
      <c r="G830" s="14">
        <v>664.49999999999989</v>
      </c>
      <c r="H830" s="14">
        <v>280.98107142857174</v>
      </c>
      <c r="I830" s="15">
        <v>575</v>
      </c>
    </row>
    <row r="831" spans="1:9" x14ac:dyDescent="0.3">
      <c r="A831" s="13" t="s">
        <v>32</v>
      </c>
      <c r="B831" s="13" t="s">
        <v>28</v>
      </c>
      <c r="C831" s="13" t="s">
        <v>15</v>
      </c>
      <c r="D831" s="13" t="s">
        <v>14</v>
      </c>
      <c r="E831">
        <v>5</v>
      </c>
      <c r="F831" s="15">
        <v>825</v>
      </c>
      <c r="G831" s="14">
        <v>296.70000000000005</v>
      </c>
      <c r="H831" s="14">
        <v>72.816107142857192</v>
      </c>
      <c r="I831" s="15">
        <v>165</v>
      </c>
    </row>
    <row r="832" spans="1:9" x14ac:dyDescent="0.3">
      <c r="A832" s="13" t="s">
        <v>32</v>
      </c>
      <c r="B832" s="13" t="s">
        <v>28</v>
      </c>
      <c r="C832" s="13" t="s">
        <v>24</v>
      </c>
      <c r="D832" s="13" t="s">
        <v>23</v>
      </c>
      <c r="E832">
        <v>5</v>
      </c>
      <c r="F832" s="15">
        <v>2250</v>
      </c>
      <c r="G832" s="14">
        <v>800.55000000000007</v>
      </c>
      <c r="H832" s="14">
        <v>199.04255357142887</v>
      </c>
      <c r="I832" s="15">
        <v>450</v>
      </c>
    </row>
    <row r="833" spans="1:9" x14ac:dyDescent="0.3">
      <c r="A833" s="13" t="s">
        <v>32</v>
      </c>
      <c r="B833" s="13" t="s">
        <v>28</v>
      </c>
      <c r="C833" s="13" t="s">
        <v>16</v>
      </c>
      <c r="D833" s="13" t="s">
        <v>17</v>
      </c>
      <c r="E833">
        <v>20</v>
      </c>
      <c r="F833" s="15">
        <v>5980</v>
      </c>
      <c r="G833" s="14">
        <v>1864.2000000000003</v>
      </c>
      <c r="H833" s="14">
        <v>552.8305714285716</v>
      </c>
      <c r="I833" s="15">
        <v>299</v>
      </c>
    </row>
    <row r="834" spans="1:9" x14ac:dyDescent="0.3">
      <c r="A834" s="13" t="s">
        <v>32</v>
      </c>
      <c r="B834" s="13" t="s">
        <v>28</v>
      </c>
      <c r="C834" s="13" t="s">
        <v>18</v>
      </c>
      <c r="D834" s="13" t="s">
        <v>17</v>
      </c>
      <c r="E834">
        <v>5</v>
      </c>
      <c r="F834" s="15">
        <v>2875</v>
      </c>
      <c r="G834" s="14">
        <v>775</v>
      </c>
      <c r="H834" s="14">
        <v>276.48214285714317</v>
      </c>
      <c r="I834" s="15">
        <v>575</v>
      </c>
    </row>
    <row r="835" spans="1:9" x14ac:dyDescent="0.3">
      <c r="A835" s="13" t="s">
        <v>32</v>
      </c>
      <c r="B835" s="13" t="s">
        <v>28</v>
      </c>
      <c r="C835" s="13" t="s">
        <v>10</v>
      </c>
      <c r="D835" s="13" t="s">
        <v>11</v>
      </c>
      <c r="E835">
        <v>5</v>
      </c>
      <c r="F835" s="15">
        <v>1675</v>
      </c>
      <c r="G835" s="14">
        <v>596.80000000000007</v>
      </c>
      <c r="H835" s="14">
        <v>148.77171428571444</v>
      </c>
      <c r="I835" s="15">
        <v>335</v>
      </c>
    </row>
    <row r="836" spans="1:9" x14ac:dyDescent="0.3">
      <c r="A836" s="13" t="s">
        <v>32</v>
      </c>
      <c r="B836" s="13" t="s">
        <v>28</v>
      </c>
      <c r="C836" s="13" t="s">
        <v>15</v>
      </c>
      <c r="D836" s="13" t="s">
        <v>14</v>
      </c>
      <c r="E836">
        <v>5</v>
      </c>
      <c r="F836" s="15">
        <v>825</v>
      </c>
      <c r="G836" s="14">
        <v>296.70000000000005</v>
      </c>
      <c r="H836" s="14">
        <v>72.816107142857192</v>
      </c>
      <c r="I836" s="15">
        <v>165</v>
      </c>
    </row>
    <row r="837" spans="1:9" x14ac:dyDescent="0.3">
      <c r="A837" s="13" t="s">
        <v>32</v>
      </c>
      <c r="B837" s="13" t="s">
        <v>28</v>
      </c>
      <c r="C837" s="13" t="s">
        <v>24</v>
      </c>
      <c r="D837" s="13" t="s">
        <v>23</v>
      </c>
      <c r="E837">
        <v>5</v>
      </c>
      <c r="F837" s="15">
        <v>2250</v>
      </c>
      <c r="G837" s="14">
        <v>765</v>
      </c>
      <c r="H837" s="14">
        <v>200.90892857142876</v>
      </c>
      <c r="I837" s="15">
        <v>450</v>
      </c>
    </row>
    <row r="838" spans="1:9" x14ac:dyDescent="0.3">
      <c r="A838" s="13" t="s">
        <v>32</v>
      </c>
      <c r="B838" s="13" t="s">
        <v>28</v>
      </c>
      <c r="C838" s="13" t="s">
        <v>16</v>
      </c>
      <c r="D838" s="13" t="s">
        <v>17</v>
      </c>
      <c r="E838">
        <v>20</v>
      </c>
      <c r="F838" s="15">
        <v>5980</v>
      </c>
      <c r="G838" s="14">
        <v>1864.2000000000003</v>
      </c>
      <c r="H838" s="14">
        <v>552.8305714285716</v>
      </c>
      <c r="I838" s="15">
        <v>299</v>
      </c>
    </row>
    <row r="839" spans="1:9" x14ac:dyDescent="0.3">
      <c r="A839" s="13" t="s">
        <v>32</v>
      </c>
      <c r="B839" s="13" t="s">
        <v>28</v>
      </c>
      <c r="C839" s="13" t="s">
        <v>18</v>
      </c>
      <c r="D839" s="13" t="s">
        <v>17</v>
      </c>
      <c r="E839">
        <v>5</v>
      </c>
      <c r="F839" s="15">
        <v>2875</v>
      </c>
      <c r="G839" s="14">
        <v>664.49999999999989</v>
      </c>
      <c r="H839" s="14">
        <v>280.98107142857174</v>
      </c>
      <c r="I839" s="15">
        <v>575</v>
      </c>
    </row>
    <row r="840" spans="1:9" x14ac:dyDescent="0.3">
      <c r="A840" s="13" t="s">
        <v>32</v>
      </c>
      <c r="B840" s="13" t="s">
        <v>28</v>
      </c>
      <c r="C840" s="13" t="s">
        <v>10</v>
      </c>
      <c r="D840" s="13" t="s">
        <v>11</v>
      </c>
      <c r="E840">
        <v>5</v>
      </c>
      <c r="F840" s="15">
        <v>1675</v>
      </c>
      <c r="G840" s="14">
        <v>596.80000000000007</v>
      </c>
      <c r="H840" s="14">
        <v>148.77171428571444</v>
      </c>
      <c r="I840" s="15">
        <v>335</v>
      </c>
    </row>
    <row r="841" spans="1:9" x14ac:dyDescent="0.3">
      <c r="A841" s="13" t="s">
        <v>32</v>
      </c>
      <c r="B841" s="13" t="s">
        <v>28</v>
      </c>
      <c r="C841" s="13" t="s">
        <v>24</v>
      </c>
      <c r="D841" s="13" t="s">
        <v>23</v>
      </c>
      <c r="E841">
        <v>5</v>
      </c>
      <c r="F841" s="15">
        <v>2250</v>
      </c>
      <c r="G841" s="14">
        <v>800.55000000000007</v>
      </c>
      <c r="H841" s="14">
        <v>199.04255357142887</v>
      </c>
      <c r="I841" s="15">
        <v>450</v>
      </c>
    </row>
    <row r="842" spans="1:9" x14ac:dyDescent="0.3">
      <c r="A842" s="13" t="s">
        <v>32</v>
      </c>
      <c r="B842" s="13" t="s">
        <v>28</v>
      </c>
      <c r="C842" s="13" t="s">
        <v>16</v>
      </c>
      <c r="D842" s="13" t="s">
        <v>17</v>
      </c>
      <c r="E842">
        <v>5</v>
      </c>
      <c r="F842" s="15">
        <v>1495</v>
      </c>
      <c r="G842" s="14">
        <v>466.05000000000007</v>
      </c>
      <c r="H842" s="14">
        <v>138.2076428571429</v>
      </c>
      <c r="I842" s="15">
        <v>299</v>
      </c>
    </row>
    <row r="843" spans="1:9" x14ac:dyDescent="0.3">
      <c r="A843" s="13" t="s">
        <v>32</v>
      </c>
      <c r="B843" s="13" t="s">
        <v>28</v>
      </c>
      <c r="C843" s="13" t="s">
        <v>18</v>
      </c>
      <c r="D843" s="13" t="s">
        <v>17</v>
      </c>
      <c r="E843">
        <v>5</v>
      </c>
      <c r="F843" s="15">
        <v>2875</v>
      </c>
      <c r="G843" s="14">
        <v>775</v>
      </c>
      <c r="H843" s="14">
        <v>276.48214285714317</v>
      </c>
      <c r="I843" s="15">
        <v>575</v>
      </c>
    </row>
    <row r="844" spans="1:9" x14ac:dyDescent="0.3">
      <c r="A844" s="13" t="s">
        <v>32</v>
      </c>
      <c r="B844" s="13" t="s">
        <v>28</v>
      </c>
      <c r="C844" s="13" t="s">
        <v>12</v>
      </c>
      <c r="D844" s="13" t="s">
        <v>11</v>
      </c>
      <c r="E844">
        <v>5</v>
      </c>
      <c r="F844" s="15">
        <v>3000</v>
      </c>
      <c r="G844" s="14">
        <v>641.80000000000007</v>
      </c>
      <c r="H844" s="14">
        <v>296.6734285714287</v>
      </c>
      <c r="I844" s="15">
        <v>600</v>
      </c>
    </row>
    <row r="845" spans="1:9" x14ac:dyDescent="0.3">
      <c r="A845" s="13" t="s">
        <v>32</v>
      </c>
      <c r="B845" s="13" t="s">
        <v>28</v>
      </c>
      <c r="C845" s="13" t="s">
        <v>13</v>
      </c>
      <c r="D845" s="13" t="s">
        <v>14</v>
      </c>
      <c r="E845">
        <v>5</v>
      </c>
      <c r="F845" s="15">
        <v>1875</v>
      </c>
      <c r="G845" s="14">
        <v>764.95</v>
      </c>
      <c r="H845" s="14">
        <v>157.45462500000002</v>
      </c>
      <c r="I845" s="15">
        <v>375</v>
      </c>
    </row>
    <row r="846" spans="1:9" x14ac:dyDescent="0.3">
      <c r="A846" s="13" t="s">
        <v>32</v>
      </c>
      <c r="B846" s="13" t="s">
        <v>28</v>
      </c>
      <c r="C846" s="13" t="s">
        <v>24</v>
      </c>
      <c r="D846" s="13" t="s">
        <v>23</v>
      </c>
      <c r="E846">
        <v>5</v>
      </c>
      <c r="F846" s="15">
        <v>2250</v>
      </c>
      <c r="G846" s="14">
        <v>800.55000000000007</v>
      </c>
      <c r="H846" s="14">
        <v>199.04255357142887</v>
      </c>
      <c r="I846" s="15">
        <v>450</v>
      </c>
    </row>
    <row r="847" spans="1:9" x14ac:dyDescent="0.3">
      <c r="A847" s="13" t="s">
        <v>32</v>
      </c>
      <c r="B847" s="13" t="s">
        <v>28</v>
      </c>
      <c r="C847" s="13" t="s">
        <v>16</v>
      </c>
      <c r="D847" s="13" t="s">
        <v>17</v>
      </c>
      <c r="E847">
        <v>10</v>
      </c>
      <c r="F847" s="15">
        <v>2990</v>
      </c>
      <c r="G847" s="14">
        <v>932.10000000000014</v>
      </c>
      <c r="H847" s="14">
        <v>276.4152857142858</v>
      </c>
      <c r="I847" s="15">
        <v>299</v>
      </c>
    </row>
    <row r="848" spans="1:9" x14ac:dyDescent="0.3">
      <c r="A848" s="13" t="s">
        <v>32</v>
      </c>
      <c r="B848" s="13" t="s">
        <v>28</v>
      </c>
      <c r="C848" s="13" t="s">
        <v>18</v>
      </c>
      <c r="D848" s="13" t="s">
        <v>17</v>
      </c>
      <c r="E848">
        <v>5</v>
      </c>
      <c r="F848" s="15">
        <v>2875</v>
      </c>
      <c r="G848" s="14">
        <v>775</v>
      </c>
      <c r="H848" s="14">
        <v>276.48214285714317</v>
      </c>
      <c r="I848" s="15">
        <v>575</v>
      </c>
    </row>
    <row r="849" spans="1:9" x14ac:dyDescent="0.3">
      <c r="A849" s="13" t="s">
        <v>32</v>
      </c>
      <c r="B849" s="13" t="s">
        <v>28</v>
      </c>
      <c r="C849" s="13" t="s">
        <v>10</v>
      </c>
      <c r="D849" s="13" t="s">
        <v>11</v>
      </c>
      <c r="E849">
        <v>5</v>
      </c>
      <c r="F849" s="15">
        <v>1675</v>
      </c>
      <c r="G849" s="14">
        <v>596.80000000000007</v>
      </c>
      <c r="H849" s="14">
        <v>148.77171428571444</v>
      </c>
      <c r="I849" s="15">
        <v>335</v>
      </c>
    </row>
    <row r="850" spans="1:9" x14ac:dyDescent="0.3">
      <c r="A850" s="13" t="s">
        <v>32</v>
      </c>
      <c r="B850" s="13" t="s">
        <v>28</v>
      </c>
      <c r="C850" s="13" t="s">
        <v>16</v>
      </c>
      <c r="D850" s="13" t="s">
        <v>17</v>
      </c>
      <c r="E850">
        <v>10</v>
      </c>
      <c r="F850" s="15">
        <v>2990</v>
      </c>
      <c r="G850" s="14">
        <v>932.10000000000014</v>
      </c>
      <c r="H850" s="14">
        <v>276.4152857142858</v>
      </c>
      <c r="I850" s="15">
        <v>299</v>
      </c>
    </row>
    <row r="851" spans="1:9" x14ac:dyDescent="0.3">
      <c r="A851" s="13" t="s">
        <v>32</v>
      </c>
      <c r="B851" s="13" t="s">
        <v>28</v>
      </c>
      <c r="C851" s="13" t="s">
        <v>18</v>
      </c>
      <c r="D851" s="13" t="s">
        <v>17</v>
      </c>
      <c r="E851">
        <v>10</v>
      </c>
      <c r="F851" s="15">
        <v>5750</v>
      </c>
      <c r="G851" s="14">
        <v>1550</v>
      </c>
      <c r="H851" s="14">
        <v>552.96428571428635</v>
      </c>
      <c r="I851" s="15">
        <v>575</v>
      </c>
    </row>
    <row r="852" spans="1:9" x14ac:dyDescent="0.3">
      <c r="A852" s="13" t="s">
        <v>32</v>
      </c>
      <c r="B852" s="13" t="s">
        <v>28</v>
      </c>
      <c r="C852" s="13" t="s">
        <v>10</v>
      </c>
      <c r="D852" s="13" t="s">
        <v>11</v>
      </c>
      <c r="E852">
        <v>5</v>
      </c>
      <c r="F852" s="15">
        <v>1675</v>
      </c>
      <c r="G852" s="14">
        <v>596.80000000000007</v>
      </c>
      <c r="H852" s="14">
        <v>148.77171428571444</v>
      </c>
      <c r="I852" s="15">
        <v>335</v>
      </c>
    </row>
    <row r="853" spans="1:9" x14ac:dyDescent="0.3">
      <c r="A853" s="13" t="s">
        <v>32</v>
      </c>
      <c r="B853" s="13" t="s">
        <v>28</v>
      </c>
      <c r="C853" s="13" t="s">
        <v>15</v>
      </c>
      <c r="D853" s="13" t="s">
        <v>14</v>
      </c>
      <c r="E853">
        <v>5</v>
      </c>
      <c r="F853" s="15">
        <v>825</v>
      </c>
      <c r="G853" s="14">
        <v>323.10000000000002</v>
      </c>
      <c r="H853" s="14">
        <v>71.430107142857224</v>
      </c>
      <c r="I853" s="15">
        <v>165</v>
      </c>
    </row>
    <row r="854" spans="1:9" x14ac:dyDescent="0.3">
      <c r="A854" s="13" t="s">
        <v>32</v>
      </c>
      <c r="B854" s="13" t="s">
        <v>28</v>
      </c>
      <c r="C854" s="13" t="s">
        <v>16</v>
      </c>
      <c r="D854" s="13" t="s">
        <v>17</v>
      </c>
      <c r="E854">
        <v>10</v>
      </c>
      <c r="F854" s="15">
        <v>2990</v>
      </c>
      <c r="G854" s="14">
        <v>932.10000000000014</v>
      </c>
      <c r="H854" s="14">
        <v>276.4152857142858</v>
      </c>
      <c r="I854" s="15">
        <v>299</v>
      </c>
    </row>
    <row r="855" spans="1:9" x14ac:dyDescent="0.3">
      <c r="A855" s="13" t="s">
        <v>32</v>
      </c>
      <c r="B855" s="13" t="s">
        <v>28</v>
      </c>
      <c r="C855" s="13" t="s">
        <v>15</v>
      </c>
      <c r="D855" s="13" t="s">
        <v>14</v>
      </c>
      <c r="E855">
        <v>5</v>
      </c>
      <c r="F855" s="15">
        <v>825</v>
      </c>
      <c r="G855" s="14">
        <v>296.70000000000005</v>
      </c>
      <c r="H855" s="14">
        <v>72.816107142857192</v>
      </c>
      <c r="I855" s="15">
        <v>165</v>
      </c>
    </row>
    <row r="856" spans="1:9" x14ac:dyDescent="0.3">
      <c r="A856" s="13" t="s">
        <v>32</v>
      </c>
      <c r="B856" s="13" t="s">
        <v>28</v>
      </c>
      <c r="C856" s="13" t="s">
        <v>24</v>
      </c>
      <c r="D856" s="13" t="s">
        <v>23</v>
      </c>
      <c r="E856">
        <v>10</v>
      </c>
      <c r="F856" s="15">
        <v>4500</v>
      </c>
      <c r="G856" s="14">
        <v>1601.1000000000001</v>
      </c>
      <c r="H856" s="14">
        <v>398.08510714285774</v>
      </c>
      <c r="I856" s="15">
        <v>450</v>
      </c>
    </row>
    <row r="857" spans="1:9" x14ac:dyDescent="0.3">
      <c r="A857" s="13" t="s">
        <v>32</v>
      </c>
      <c r="B857" s="13" t="s">
        <v>28</v>
      </c>
      <c r="C857" s="13" t="s">
        <v>16</v>
      </c>
      <c r="D857" s="13" t="s">
        <v>17</v>
      </c>
      <c r="E857">
        <v>5</v>
      </c>
      <c r="F857" s="15">
        <v>1495</v>
      </c>
      <c r="G857" s="14">
        <v>466.05000000000007</v>
      </c>
      <c r="H857" s="14">
        <v>138.2076428571429</v>
      </c>
      <c r="I857" s="15">
        <v>299</v>
      </c>
    </row>
    <row r="858" spans="1:9" x14ac:dyDescent="0.3">
      <c r="A858" s="13" t="s">
        <v>32</v>
      </c>
      <c r="B858" s="13" t="s">
        <v>28</v>
      </c>
      <c r="C858" s="13" t="s">
        <v>18</v>
      </c>
      <c r="D858" s="13" t="s">
        <v>17</v>
      </c>
      <c r="E858">
        <v>15</v>
      </c>
      <c r="F858" s="15">
        <v>8625</v>
      </c>
      <c r="G858" s="14">
        <v>2214.5</v>
      </c>
      <c r="H858" s="14">
        <v>833.9453571428578</v>
      </c>
      <c r="I858" s="15">
        <v>575</v>
      </c>
    </row>
    <row r="859" spans="1:9" x14ac:dyDescent="0.3">
      <c r="A859" s="13" t="s">
        <v>32</v>
      </c>
      <c r="B859" s="13" t="s">
        <v>28</v>
      </c>
      <c r="C859" s="13" t="s">
        <v>10</v>
      </c>
      <c r="D859" s="13" t="s">
        <v>11</v>
      </c>
      <c r="E859">
        <v>5</v>
      </c>
      <c r="F859" s="15">
        <v>1675</v>
      </c>
      <c r="G859" s="14">
        <v>596.80000000000007</v>
      </c>
      <c r="H859" s="14">
        <v>148.77171428571444</v>
      </c>
      <c r="I859" s="15">
        <v>335</v>
      </c>
    </row>
    <row r="860" spans="1:9" x14ac:dyDescent="0.3">
      <c r="A860" s="13" t="s">
        <v>32</v>
      </c>
      <c r="B860" s="13" t="s">
        <v>28</v>
      </c>
      <c r="C860" s="13" t="s">
        <v>13</v>
      </c>
      <c r="D860" s="13" t="s">
        <v>14</v>
      </c>
      <c r="E860">
        <v>5</v>
      </c>
      <c r="F860" s="15">
        <v>1875</v>
      </c>
      <c r="G860" s="14">
        <v>764.95</v>
      </c>
      <c r="H860" s="14">
        <v>157.45462500000002</v>
      </c>
      <c r="I860" s="15">
        <v>375</v>
      </c>
    </row>
    <row r="861" spans="1:9" x14ac:dyDescent="0.3">
      <c r="A861" s="13" t="s">
        <v>32</v>
      </c>
      <c r="B861" s="13" t="s">
        <v>28</v>
      </c>
      <c r="C861" s="13" t="s">
        <v>18</v>
      </c>
      <c r="D861" s="13" t="s">
        <v>17</v>
      </c>
      <c r="E861">
        <v>30</v>
      </c>
      <c r="F861" s="15">
        <v>17250</v>
      </c>
      <c r="G861" s="14">
        <v>4650</v>
      </c>
      <c r="H861" s="14">
        <v>1658.8928571428573</v>
      </c>
      <c r="I861" s="15">
        <v>575</v>
      </c>
    </row>
    <row r="862" spans="1:9" x14ac:dyDescent="0.3">
      <c r="A862" s="13" t="s">
        <v>32</v>
      </c>
      <c r="B862" s="13" t="s">
        <v>28</v>
      </c>
      <c r="C862" s="13" t="s">
        <v>16</v>
      </c>
      <c r="D862" s="13" t="s">
        <v>17</v>
      </c>
      <c r="E862">
        <v>5</v>
      </c>
      <c r="F862" s="15">
        <v>1495</v>
      </c>
      <c r="G862" s="14">
        <v>466.05000000000007</v>
      </c>
      <c r="H862" s="14">
        <v>138.2076428571429</v>
      </c>
      <c r="I862" s="15">
        <v>299</v>
      </c>
    </row>
    <row r="863" spans="1:9" x14ac:dyDescent="0.3">
      <c r="A863" s="13" t="s">
        <v>32</v>
      </c>
      <c r="B863" s="13" t="s">
        <v>28</v>
      </c>
      <c r="C863" s="13" t="s">
        <v>18</v>
      </c>
      <c r="D863" s="13" t="s">
        <v>17</v>
      </c>
      <c r="E863">
        <v>5</v>
      </c>
      <c r="F863" s="15">
        <v>2875</v>
      </c>
      <c r="G863" s="14">
        <v>775</v>
      </c>
      <c r="H863" s="14">
        <v>276.48214285714317</v>
      </c>
      <c r="I863" s="15">
        <v>575</v>
      </c>
    </row>
    <row r="864" spans="1:9" x14ac:dyDescent="0.3">
      <c r="A864" s="13" t="s">
        <v>32</v>
      </c>
      <c r="B864" s="13" t="s">
        <v>28</v>
      </c>
      <c r="C864" s="13" t="s">
        <v>10</v>
      </c>
      <c r="D864" s="13" t="s">
        <v>11</v>
      </c>
      <c r="E864">
        <v>10</v>
      </c>
      <c r="F864" s="15">
        <v>3350</v>
      </c>
      <c r="G864" s="14">
        <v>1193.6000000000001</v>
      </c>
      <c r="H864" s="14">
        <v>297.54342857142888</v>
      </c>
      <c r="I864" s="15">
        <v>335</v>
      </c>
    </row>
    <row r="865" spans="1:9" x14ac:dyDescent="0.3">
      <c r="A865" s="13" t="s">
        <v>32</v>
      </c>
      <c r="B865" s="13" t="s">
        <v>28</v>
      </c>
      <c r="C865" s="13" t="s">
        <v>12</v>
      </c>
      <c r="D865" s="13" t="s">
        <v>11</v>
      </c>
      <c r="E865">
        <v>5</v>
      </c>
      <c r="F865" s="15">
        <v>3000</v>
      </c>
      <c r="G865" s="14">
        <v>641.80000000000007</v>
      </c>
      <c r="H865" s="14">
        <v>296.6734285714287</v>
      </c>
      <c r="I865" s="15">
        <v>600</v>
      </c>
    </row>
    <row r="866" spans="1:9" x14ac:dyDescent="0.3">
      <c r="A866" s="13" t="s">
        <v>32</v>
      </c>
      <c r="B866" s="13" t="s">
        <v>28</v>
      </c>
      <c r="C866" s="13" t="s">
        <v>15</v>
      </c>
      <c r="D866" s="13" t="s">
        <v>14</v>
      </c>
      <c r="E866">
        <v>5</v>
      </c>
      <c r="F866" s="15">
        <v>825</v>
      </c>
      <c r="G866" s="14">
        <v>323.10000000000002</v>
      </c>
      <c r="H866" s="14">
        <v>71.430107142857224</v>
      </c>
      <c r="I866" s="15">
        <v>165</v>
      </c>
    </row>
    <row r="867" spans="1:9" x14ac:dyDescent="0.3">
      <c r="A867" s="13" t="s">
        <v>32</v>
      </c>
      <c r="B867" s="13" t="s">
        <v>28</v>
      </c>
      <c r="C867" s="13" t="s">
        <v>13</v>
      </c>
      <c r="D867" s="13" t="s">
        <v>14</v>
      </c>
      <c r="E867">
        <v>5</v>
      </c>
      <c r="F867" s="15">
        <v>1875</v>
      </c>
      <c r="G867" s="14">
        <v>764.95</v>
      </c>
      <c r="H867" s="14">
        <v>157.45462500000002</v>
      </c>
      <c r="I867" s="15">
        <v>375</v>
      </c>
    </row>
    <row r="868" spans="1:9" x14ac:dyDescent="0.3">
      <c r="A868" s="13" t="s">
        <v>32</v>
      </c>
      <c r="B868" s="13" t="s">
        <v>28</v>
      </c>
      <c r="C868" s="13" t="s">
        <v>24</v>
      </c>
      <c r="D868" s="13" t="s">
        <v>23</v>
      </c>
      <c r="E868">
        <v>10</v>
      </c>
      <c r="F868" s="15">
        <v>4500</v>
      </c>
      <c r="G868" s="14">
        <v>1532</v>
      </c>
      <c r="H868" s="14">
        <v>401.71285714285773</v>
      </c>
      <c r="I868" s="15">
        <v>450</v>
      </c>
    </row>
    <row r="869" spans="1:9" x14ac:dyDescent="0.3">
      <c r="A869" s="13" t="s">
        <v>32</v>
      </c>
      <c r="B869" s="13" t="s">
        <v>28</v>
      </c>
      <c r="C869" s="13" t="s">
        <v>16</v>
      </c>
      <c r="D869" s="13" t="s">
        <v>17</v>
      </c>
      <c r="E869">
        <v>10</v>
      </c>
      <c r="F869" s="15">
        <v>2990</v>
      </c>
      <c r="G869" s="14">
        <v>932.10000000000014</v>
      </c>
      <c r="H869" s="14">
        <v>276.4152857142858</v>
      </c>
      <c r="I869" s="15">
        <v>299</v>
      </c>
    </row>
    <row r="870" spans="1:9" x14ac:dyDescent="0.3">
      <c r="A870" s="13" t="s">
        <v>32</v>
      </c>
      <c r="B870" s="13" t="s">
        <v>28</v>
      </c>
      <c r="C870" s="13" t="s">
        <v>10</v>
      </c>
      <c r="D870" s="13" t="s">
        <v>11</v>
      </c>
      <c r="E870">
        <v>5</v>
      </c>
      <c r="F870" s="15">
        <v>1675</v>
      </c>
      <c r="G870" s="14">
        <v>596.80000000000007</v>
      </c>
      <c r="H870" s="14">
        <v>148.77171428571444</v>
      </c>
      <c r="I870" s="15">
        <v>335</v>
      </c>
    </row>
    <row r="871" spans="1:9" x14ac:dyDescent="0.3">
      <c r="A871" s="13" t="s">
        <v>32</v>
      </c>
      <c r="B871" s="13" t="s">
        <v>28</v>
      </c>
      <c r="C871" s="13" t="s">
        <v>15</v>
      </c>
      <c r="D871" s="13" t="s">
        <v>14</v>
      </c>
      <c r="E871">
        <v>5</v>
      </c>
      <c r="F871" s="15">
        <v>825</v>
      </c>
      <c r="G871" s="14">
        <v>296.70000000000005</v>
      </c>
      <c r="H871" s="14">
        <v>72.816107142857192</v>
      </c>
      <c r="I871" s="15">
        <v>165</v>
      </c>
    </row>
    <row r="872" spans="1:9" x14ac:dyDescent="0.3">
      <c r="A872" s="13" t="s">
        <v>32</v>
      </c>
      <c r="B872" s="13" t="s">
        <v>28</v>
      </c>
      <c r="C872" s="13" t="s">
        <v>16</v>
      </c>
      <c r="D872" s="13" t="s">
        <v>17</v>
      </c>
      <c r="E872">
        <v>5</v>
      </c>
      <c r="F872" s="15">
        <v>1495</v>
      </c>
      <c r="G872" s="14">
        <v>466.05000000000007</v>
      </c>
      <c r="H872" s="14">
        <v>138.2076428571429</v>
      </c>
      <c r="I872" s="15">
        <v>299</v>
      </c>
    </row>
    <row r="873" spans="1:9" x14ac:dyDescent="0.3">
      <c r="A873" s="13" t="s">
        <v>32</v>
      </c>
      <c r="B873" s="13" t="s">
        <v>28</v>
      </c>
      <c r="C873" s="13" t="s">
        <v>10</v>
      </c>
      <c r="D873" s="13" t="s">
        <v>11</v>
      </c>
      <c r="E873">
        <v>5</v>
      </c>
      <c r="F873" s="15">
        <v>1675</v>
      </c>
      <c r="G873" s="14">
        <v>596.80000000000007</v>
      </c>
      <c r="H873" s="14">
        <v>148.77171428571444</v>
      </c>
      <c r="I873" s="15">
        <v>335</v>
      </c>
    </row>
    <row r="874" spans="1:9" x14ac:dyDescent="0.3">
      <c r="A874" s="13" t="s">
        <v>32</v>
      </c>
      <c r="B874" s="13" t="s">
        <v>28</v>
      </c>
      <c r="C874" s="13" t="s">
        <v>15</v>
      </c>
      <c r="D874" s="13" t="s">
        <v>14</v>
      </c>
      <c r="E874">
        <v>5</v>
      </c>
      <c r="F874" s="15">
        <v>825</v>
      </c>
      <c r="G874" s="14">
        <v>296.70000000000005</v>
      </c>
      <c r="H874" s="14">
        <v>72.816107142857192</v>
      </c>
      <c r="I874" s="15">
        <v>165</v>
      </c>
    </row>
    <row r="875" spans="1:9" x14ac:dyDescent="0.3">
      <c r="A875" s="13" t="s">
        <v>32</v>
      </c>
      <c r="B875" s="13" t="s">
        <v>28</v>
      </c>
      <c r="C875" s="13" t="s">
        <v>22</v>
      </c>
      <c r="D875" s="13" t="s">
        <v>23</v>
      </c>
      <c r="E875">
        <v>5</v>
      </c>
      <c r="F875" s="15">
        <v>995</v>
      </c>
      <c r="G875" s="14">
        <v>272.8</v>
      </c>
      <c r="H875" s="14">
        <v>94.331142857142964</v>
      </c>
      <c r="I875" s="15">
        <v>199</v>
      </c>
    </row>
    <row r="876" spans="1:9" x14ac:dyDescent="0.3">
      <c r="A876" s="13" t="s">
        <v>32</v>
      </c>
      <c r="B876" s="13" t="s">
        <v>28</v>
      </c>
      <c r="C876" s="13" t="s">
        <v>24</v>
      </c>
      <c r="D876" s="13" t="s">
        <v>23</v>
      </c>
      <c r="E876">
        <v>5</v>
      </c>
      <c r="F876" s="15">
        <v>2250</v>
      </c>
      <c r="G876" s="14">
        <v>800.55000000000007</v>
      </c>
      <c r="H876" s="14">
        <v>199.04255357142887</v>
      </c>
      <c r="I876" s="15">
        <v>450</v>
      </c>
    </row>
    <row r="877" spans="1:9" x14ac:dyDescent="0.3">
      <c r="A877" s="13" t="s">
        <v>32</v>
      </c>
      <c r="B877" s="13" t="s">
        <v>28</v>
      </c>
      <c r="C877" s="13" t="s">
        <v>16</v>
      </c>
      <c r="D877" s="13" t="s">
        <v>17</v>
      </c>
      <c r="E877">
        <v>5</v>
      </c>
      <c r="F877" s="15">
        <v>1495</v>
      </c>
      <c r="G877" s="14">
        <v>466.05000000000007</v>
      </c>
      <c r="H877" s="14">
        <v>138.2076428571429</v>
      </c>
      <c r="I877" s="15">
        <v>299</v>
      </c>
    </row>
    <row r="878" spans="1:9" x14ac:dyDescent="0.3">
      <c r="A878" s="13" t="s">
        <v>32</v>
      </c>
      <c r="B878" s="13" t="s">
        <v>28</v>
      </c>
      <c r="C878" s="13" t="s">
        <v>18</v>
      </c>
      <c r="D878" s="13" t="s">
        <v>17</v>
      </c>
      <c r="E878">
        <v>10</v>
      </c>
      <c r="F878" s="15">
        <v>5750</v>
      </c>
      <c r="G878" s="14">
        <v>1550</v>
      </c>
      <c r="H878" s="14">
        <v>552.96428571428635</v>
      </c>
      <c r="I878" s="15">
        <v>575</v>
      </c>
    </row>
    <row r="879" spans="1:9" x14ac:dyDescent="0.3">
      <c r="A879" s="13" t="s">
        <v>32</v>
      </c>
      <c r="B879" s="13" t="s">
        <v>28</v>
      </c>
      <c r="C879" s="13" t="s">
        <v>24</v>
      </c>
      <c r="D879" s="13" t="s">
        <v>23</v>
      </c>
      <c r="E879">
        <v>5</v>
      </c>
      <c r="F879" s="15">
        <v>2250</v>
      </c>
      <c r="G879" s="14">
        <v>800.55000000000007</v>
      </c>
      <c r="H879" s="14">
        <v>199.04255357142887</v>
      </c>
      <c r="I879" s="15">
        <v>450</v>
      </c>
    </row>
    <row r="880" spans="1:9" x14ac:dyDescent="0.3">
      <c r="A880" s="13" t="s">
        <v>32</v>
      </c>
      <c r="B880" s="13" t="s">
        <v>28</v>
      </c>
      <c r="C880" s="13" t="s">
        <v>16</v>
      </c>
      <c r="D880" s="13" t="s">
        <v>17</v>
      </c>
      <c r="E880">
        <v>5</v>
      </c>
      <c r="F880" s="15">
        <v>1495</v>
      </c>
      <c r="G880" s="14">
        <v>466.05000000000007</v>
      </c>
      <c r="H880" s="14">
        <v>138.2076428571429</v>
      </c>
      <c r="I880" s="15">
        <v>299</v>
      </c>
    </row>
    <row r="881" spans="1:9" x14ac:dyDescent="0.3">
      <c r="A881" s="13" t="s">
        <v>32</v>
      </c>
      <c r="B881" s="13" t="s">
        <v>28</v>
      </c>
      <c r="C881" s="13" t="s">
        <v>10</v>
      </c>
      <c r="D881" s="13" t="s">
        <v>11</v>
      </c>
      <c r="E881">
        <v>5</v>
      </c>
      <c r="F881" s="15">
        <v>1675</v>
      </c>
      <c r="G881" s="14">
        <v>596.80000000000007</v>
      </c>
      <c r="H881" s="14">
        <v>148.77171428571444</v>
      </c>
      <c r="I881" s="15">
        <v>335</v>
      </c>
    </row>
    <row r="882" spans="1:9" x14ac:dyDescent="0.3">
      <c r="A882" s="13" t="s">
        <v>32</v>
      </c>
      <c r="B882" s="13" t="s">
        <v>28</v>
      </c>
      <c r="C882" s="13" t="s">
        <v>12</v>
      </c>
      <c r="D882" s="13" t="s">
        <v>11</v>
      </c>
      <c r="E882">
        <v>5</v>
      </c>
      <c r="F882" s="15">
        <v>3000</v>
      </c>
      <c r="G882" s="14">
        <v>759.7</v>
      </c>
      <c r="H882" s="14">
        <v>292.12585714285751</v>
      </c>
      <c r="I882" s="15">
        <v>600</v>
      </c>
    </row>
    <row r="883" spans="1:9" x14ac:dyDescent="0.3">
      <c r="A883" s="13" t="s">
        <v>32</v>
      </c>
      <c r="B883" s="13" t="s">
        <v>28</v>
      </c>
      <c r="C883" s="13" t="s">
        <v>13</v>
      </c>
      <c r="D883" s="13" t="s">
        <v>14</v>
      </c>
      <c r="E883">
        <v>5</v>
      </c>
      <c r="F883" s="15">
        <v>1875</v>
      </c>
      <c r="G883" s="14">
        <v>764.95</v>
      </c>
      <c r="H883" s="14">
        <v>157.45462500000002</v>
      </c>
      <c r="I883" s="15">
        <v>375</v>
      </c>
    </row>
    <row r="884" spans="1:9" x14ac:dyDescent="0.3">
      <c r="A884" s="13" t="s">
        <v>32</v>
      </c>
      <c r="B884" s="13" t="s">
        <v>28</v>
      </c>
      <c r="C884" s="13" t="s">
        <v>18</v>
      </c>
      <c r="D884" s="13" t="s">
        <v>17</v>
      </c>
      <c r="E884">
        <v>5</v>
      </c>
      <c r="F884" s="15">
        <v>2875</v>
      </c>
      <c r="G884" s="14">
        <v>775</v>
      </c>
      <c r="H884" s="14">
        <v>276.48214285714317</v>
      </c>
      <c r="I884" s="15">
        <v>575</v>
      </c>
    </row>
    <row r="885" spans="1:9" x14ac:dyDescent="0.3">
      <c r="A885" s="13" t="s">
        <v>32</v>
      </c>
      <c r="B885" s="13" t="s">
        <v>28</v>
      </c>
      <c r="C885" s="13" t="s">
        <v>10</v>
      </c>
      <c r="D885" s="13" t="s">
        <v>11</v>
      </c>
      <c r="E885">
        <v>15</v>
      </c>
      <c r="F885" s="15">
        <v>5025</v>
      </c>
      <c r="G885" s="14">
        <v>1737.9</v>
      </c>
      <c r="H885" s="14">
        <v>449.01514285714313</v>
      </c>
      <c r="I885" s="15">
        <v>335</v>
      </c>
    </row>
    <row r="886" spans="1:9" x14ac:dyDescent="0.3">
      <c r="A886" s="13" t="s">
        <v>32</v>
      </c>
      <c r="B886" s="13" t="s">
        <v>9</v>
      </c>
      <c r="C886" s="13" t="s">
        <v>16</v>
      </c>
      <c r="D886" s="13" t="s">
        <v>17</v>
      </c>
      <c r="E886">
        <v>20</v>
      </c>
      <c r="F886" s="15">
        <v>5980</v>
      </c>
      <c r="G886" s="14">
        <v>1814</v>
      </c>
      <c r="H886" s="14">
        <v>555.19714285714315</v>
      </c>
      <c r="I886" s="15">
        <v>299</v>
      </c>
    </row>
    <row r="887" spans="1:9" x14ac:dyDescent="0.3">
      <c r="A887" s="13" t="s">
        <v>32</v>
      </c>
      <c r="B887" s="13" t="s">
        <v>9</v>
      </c>
      <c r="C887" s="13" t="s">
        <v>18</v>
      </c>
      <c r="D887" s="13" t="s">
        <v>17</v>
      </c>
      <c r="E887">
        <v>5</v>
      </c>
      <c r="F887" s="15">
        <v>2875</v>
      </c>
      <c r="G887" s="14">
        <v>775</v>
      </c>
      <c r="H887" s="14">
        <v>276.48214285714317</v>
      </c>
      <c r="I887" s="15">
        <v>575</v>
      </c>
    </row>
    <row r="888" spans="1:9" x14ac:dyDescent="0.3">
      <c r="A888" s="13" t="s">
        <v>32</v>
      </c>
      <c r="B888" s="13" t="s">
        <v>9</v>
      </c>
      <c r="C888" s="13" t="s">
        <v>10</v>
      </c>
      <c r="D888" s="13" t="s">
        <v>11</v>
      </c>
      <c r="E888">
        <v>10</v>
      </c>
      <c r="F888" s="15">
        <v>3350</v>
      </c>
      <c r="G888" s="14">
        <v>1193.6000000000001</v>
      </c>
      <c r="H888" s="14">
        <v>297.54342857142888</v>
      </c>
      <c r="I888" s="15">
        <v>335</v>
      </c>
    </row>
    <row r="889" spans="1:9" x14ac:dyDescent="0.3">
      <c r="A889" s="13" t="s">
        <v>32</v>
      </c>
      <c r="B889" s="13" t="s">
        <v>9</v>
      </c>
      <c r="C889" s="13" t="s">
        <v>12</v>
      </c>
      <c r="D889" s="13" t="s">
        <v>11</v>
      </c>
      <c r="E889">
        <v>5</v>
      </c>
      <c r="F889" s="15">
        <v>3000</v>
      </c>
      <c r="G889" s="14">
        <v>759.7</v>
      </c>
      <c r="H889" s="14">
        <v>292.12585714285751</v>
      </c>
      <c r="I889" s="15">
        <v>600</v>
      </c>
    </row>
    <row r="890" spans="1:9" x14ac:dyDescent="0.3">
      <c r="A890" s="13" t="s">
        <v>32</v>
      </c>
      <c r="B890" s="13" t="s">
        <v>9</v>
      </c>
      <c r="C890" s="13" t="s">
        <v>15</v>
      </c>
      <c r="D890" s="13" t="s">
        <v>14</v>
      </c>
      <c r="E890">
        <v>10</v>
      </c>
      <c r="F890" s="15">
        <v>1650</v>
      </c>
      <c r="G890" s="14">
        <v>646.20000000000005</v>
      </c>
      <c r="H890" s="14">
        <v>142.86021428571445</v>
      </c>
      <c r="I890" s="15">
        <v>165</v>
      </c>
    </row>
    <row r="891" spans="1:9" x14ac:dyDescent="0.3">
      <c r="A891" s="13" t="s">
        <v>32</v>
      </c>
      <c r="B891" s="13" t="s">
        <v>9</v>
      </c>
      <c r="C891" s="13" t="s">
        <v>16</v>
      </c>
      <c r="D891" s="13" t="s">
        <v>17</v>
      </c>
      <c r="E891">
        <v>20</v>
      </c>
      <c r="F891" s="15">
        <v>5980</v>
      </c>
      <c r="G891" s="14">
        <v>1398.15</v>
      </c>
      <c r="H891" s="14">
        <v>574.80150000000037</v>
      </c>
      <c r="I891" s="15">
        <v>299</v>
      </c>
    </row>
    <row r="892" spans="1:9" x14ac:dyDescent="0.3">
      <c r="A892" s="13" t="s">
        <v>32</v>
      </c>
      <c r="B892" s="13" t="s">
        <v>9</v>
      </c>
      <c r="C892" s="13" t="s">
        <v>18</v>
      </c>
      <c r="D892" s="13" t="s">
        <v>17</v>
      </c>
      <c r="E892">
        <v>10</v>
      </c>
      <c r="F892" s="15">
        <v>5750</v>
      </c>
      <c r="G892" s="14">
        <v>1439.5</v>
      </c>
      <c r="H892" s="14">
        <v>557.46321428571491</v>
      </c>
      <c r="I892" s="15">
        <v>575</v>
      </c>
    </row>
    <row r="893" spans="1:9" x14ac:dyDescent="0.3">
      <c r="A893" s="13" t="s">
        <v>32</v>
      </c>
      <c r="B893" s="13" t="s">
        <v>9</v>
      </c>
      <c r="C893" s="13" t="s">
        <v>10</v>
      </c>
      <c r="D893" s="13" t="s">
        <v>11</v>
      </c>
      <c r="E893">
        <v>10</v>
      </c>
      <c r="F893" s="15">
        <v>3350</v>
      </c>
      <c r="G893" s="14">
        <v>596.80000000000007</v>
      </c>
      <c r="H893" s="14">
        <v>328.23599999999999</v>
      </c>
      <c r="I893" s="15">
        <v>335</v>
      </c>
    </row>
    <row r="894" spans="1:9" x14ac:dyDescent="0.3">
      <c r="A894" s="13" t="s">
        <v>32</v>
      </c>
      <c r="B894" s="13" t="s">
        <v>9</v>
      </c>
      <c r="C894" s="13" t="s">
        <v>15</v>
      </c>
      <c r="D894" s="13" t="s">
        <v>14</v>
      </c>
      <c r="E894">
        <v>5</v>
      </c>
      <c r="F894" s="15">
        <v>825</v>
      </c>
      <c r="G894" s="14">
        <v>0</v>
      </c>
      <c r="H894" s="14">
        <v>88.392857142857224</v>
      </c>
      <c r="I894" s="15">
        <v>165</v>
      </c>
    </row>
    <row r="895" spans="1:9" x14ac:dyDescent="0.3">
      <c r="A895" s="13" t="s">
        <v>32</v>
      </c>
      <c r="B895" s="13" t="s">
        <v>9</v>
      </c>
      <c r="C895" s="13" t="s">
        <v>13</v>
      </c>
      <c r="D895" s="13" t="s">
        <v>14</v>
      </c>
      <c r="E895">
        <v>5</v>
      </c>
      <c r="F895" s="15">
        <v>1875</v>
      </c>
      <c r="G895" s="14">
        <v>820.45</v>
      </c>
      <c r="H895" s="14">
        <v>154.30301785714306</v>
      </c>
      <c r="I895" s="15">
        <v>375</v>
      </c>
    </row>
    <row r="896" spans="1:9" x14ac:dyDescent="0.3">
      <c r="A896" s="13" t="s">
        <v>32</v>
      </c>
      <c r="B896" s="13" t="s">
        <v>9</v>
      </c>
      <c r="C896" s="13" t="s">
        <v>24</v>
      </c>
      <c r="D896" s="13" t="s">
        <v>23</v>
      </c>
      <c r="E896">
        <v>5</v>
      </c>
      <c r="F896" s="15">
        <v>2250</v>
      </c>
      <c r="G896" s="14">
        <v>800.55000000000007</v>
      </c>
      <c r="H896" s="14">
        <v>199.04255357142887</v>
      </c>
      <c r="I896" s="15">
        <v>450</v>
      </c>
    </row>
    <row r="897" spans="1:9" x14ac:dyDescent="0.3">
      <c r="A897" s="13" t="s">
        <v>32</v>
      </c>
      <c r="B897" s="13" t="s">
        <v>9</v>
      </c>
      <c r="C897" s="13" t="s">
        <v>16</v>
      </c>
      <c r="D897" s="13" t="s">
        <v>17</v>
      </c>
      <c r="E897">
        <v>15</v>
      </c>
      <c r="F897" s="15">
        <v>4485</v>
      </c>
      <c r="G897" s="14">
        <v>1398.15</v>
      </c>
      <c r="H897" s="14">
        <v>414.6229285714287</v>
      </c>
      <c r="I897" s="15">
        <v>299</v>
      </c>
    </row>
    <row r="898" spans="1:9" x14ac:dyDescent="0.3">
      <c r="A898" s="13" t="s">
        <v>32</v>
      </c>
      <c r="B898" s="13" t="s">
        <v>9</v>
      </c>
      <c r="C898" s="13" t="s">
        <v>10</v>
      </c>
      <c r="D898" s="13" t="s">
        <v>11</v>
      </c>
      <c r="E898">
        <v>5</v>
      </c>
      <c r="F898" s="15">
        <v>1675</v>
      </c>
      <c r="G898" s="14">
        <v>596.80000000000007</v>
      </c>
      <c r="H898" s="14">
        <v>148.77171428571444</v>
      </c>
      <c r="I898" s="15">
        <v>335</v>
      </c>
    </row>
    <row r="899" spans="1:9" x14ac:dyDescent="0.3">
      <c r="A899" s="13" t="s">
        <v>32</v>
      </c>
      <c r="B899" s="13" t="s">
        <v>9</v>
      </c>
      <c r="C899" s="13" t="s">
        <v>15</v>
      </c>
      <c r="D899" s="13" t="s">
        <v>14</v>
      </c>
      <c r="E899">
        <v>15</v>
      </c>
      <c r="F899" s="15">
        <v>2475</v>
      </c>
      <c r="G899" s="14">
        <v>865</v>
      </c>
      <c r="H899" s="14">
        <v>219.76607142857148</v>
      </c>
      <c r="I899" s="15">
        <v>165</v>
      </c>
    </row>
    <row r="900" spans="1:9" x14ac:dyDescent="0.3">
      <c r="A900" s="13" t="s">
        <v>32</v>
      </c>
      <c r="B900" s="13" t="s">
        <v>9</v>
      </c>
      <c r="C900" s="13" t="s">
        <v>13</v>
      </c>
      <c r="D900" s="13" t="s">
        <v>14</v>
      </c>
      <c r="E900">
        <v>5</v>
      </c>
      <c r="F900" s="15">
        <v>1875</v>
      </c>
      <c r="G900" s="14">
        <v>764.95</v>
      </c>
      <c r="H900" s="14">
        <v>157.45462500000002</v>
      </c>
      <c r="I900" s="15">
        <v>375</v>
      </c>
    </row>
    <row r="901" spans="1:9" x14ac:dyDescent="0.3">
      <c r="A901" s="13" t="s">
        <v>32</v>
      </c>
      <c r="B901" s="13" t="s">
        <v>9</v>
      </c>
      <c r="C901" s="13" t="s">
        <v>16</v>
      </c>
      <c r="D901" s="13" t="s">
        <v>17</v>
      </c>
      <c r="E901">
        <v>5</v>
      </c>
      <c r="F901" s="15">
        <v>1495</v>
      </c>
      <c r="G901" s="14">
        <v>466.05000000000007</v>
      </c>
      <c r="H901" s="14">
        <v>138.2076428571429</v>
      </c>
      <c r="I901" s="15">
        <v>299</v>
      </c>
    </row>
    <row r="902" spans="1:9" x14ac:dyDescent="0.3">
      <c r="A902" s="13" t="s">
        <v>32</v>
      </c>
      <c r="B902" s="13" t="s">
        <v>9</v>
      </c>
      <c r="C902" s="13" t="s">
        <v>18</v>
      </c>
      <c r="D902" s="13" t="s">
        <v>17</v>
      </c>
      <c r="E902">
        <v>5</v>
      </c>
      <c r="F902" s="15">
        <v>2875</v>
      </c>
      <c r="G902" s="14">
        <v>775</v>
      </c>
      <c r="H902" s="14">
        <v>276.48214285714317</v>
      </c>
      <c r="I902" s="15">
        <v>575</v>
      </c>
    </row>
    <row r="903" spans="1:9" x14ac:dyDescent="0.3">
      <c r="A903" s="13" t="s">
        <v>32</v>
      </c>
      <c r="B903" s="13" t="s">
        <v>9</v>
      </c>
      <c r="C903" s="13" t="s">
        <v>24</v>
      </c>
      <c r="D903" s="13" t="s">
        <v>23</v>
      </c>
      <c r="E903">
        <v>5</v>
      </c>
      <c r="F903" s="15">
        <v>2250</v>
      </c>
      <c r="G903" s="14">
        <v>800.55000000000007</v>
      </c>
      <c r="H903" s="14">
        <v>199.04255357142887</v>
      </c>
      <c r="I903" s="15">
        <v>450</v>
      </c>
    </row>
    <row r="904" spans="1:9" x14ac:dyDescent="0.3">
      <c r="A904" s="13" t="s">
        <v>32</v>
      </c>
      <c r="B904" s="13" t="s">
        <v>9</v>
      </c>
      <c r="C904" s="13" t="s">
        <v>18</v>
      </c>
      <c r="D904" s="13" t="s">
        <v>17</v>
      </c>
      <c r="E904">
        <v>5</v>
      </c>
      <c r="F904" s="15">
        <v>2875</v>
      </c>
      <c r="G904" s="14">
        <v>775</v>
      </c>
      <c r="H904" s="14">
        <v>276.48214285714317</v>
      </c>
      <c r="I904" s="15">
        <v>575</v>
      </c>
    </row>
    <row r="905" spans="1:9" x14ac:dyDescent="0.3">
      <c r="A905" s="13" t="s">
        <v>32</v>
      </c>
      <c r="B905" s="13" t="s">
        <v>9</v>
      </c>
      <c r="C905" s="13" t="s">
        <v>15</v>
      </c>
      <c r="D905" s="13" t="s">
        <v>14</v>
      </c>
      <c r="E905">
        <v>10</v>
      </c>
      <c r="F905" s="15">
        <v>1650</v>
      </c>
      <c r="G905" s="14">
        <v>568.29999999999995</v>
      </c>
      <c r="H905" s="14">
        <v>146.94996428571443</v>
      </c>
      <c r="I905" s="15">
        <v>165</v>
      </c>
    </row>
    <row r="906" spans="1:9" x14ac:dyDescent="0.3">
      <c r="A906" s="13" t="s">
        <v>32</v>
      </c>
      <c r="B906" s="13" t="s">
        <v>9</v>
      </c>
      <c r="C906" s="13" t="s">
        <v>24</v>
      </c>
      <c r="D906" s="13" t="s">
        <v>23</v>
      </c>
      <c r="E906">
        <v>5</v>
      </c>
      <c r="F906" s="15">
        <v>2250</v>
      </c>
      <c r="G906" s="14">
        <v>800.55000000000007</v>
      </c>
      <c r="H906" s="14">
        <v>199.04255357142887</v>
      </c>
      <c r="I906" s="15">
        <v>450</v>
      </c>
    </row>
    <row r="907" spans="1:9" x14ac:dyDescent="0.3">
      <c r="A907" s="13" t="s">
        <v>32</v>
      </c>
      <c r="B907" s="13" t="s">
        <v>9</v>
      </c>
      <c r="C907" s="13" t="s">
        <v>16</v>
      </c>
      <c r="D907" s="13" t="s">
        <v>17</v>
      </c>
      <c r="E907">
        <v>15</v>
      </c>
      <c r="F907" s="15">
        <v>4485</v>
      </c>
      <c r="G907" s="14">
        <v>1398.15</v>
      </c>
      <c r="H907" s="14">
        <v>414.6229285714287</v>
      </c>
      <c r="I907" s="15">
        <v>299</v>
      </c>
    </row>
    <row r="908" spans="1:9" x14ac:dyDescent="0.3">
      <c r="A908" s="13" t="s">
        <v>32</v>
      </c>
      <c r="B908" s="13" t="s">
        <v>9</v>
      </c>
      <c r="C908" s="13" t="s">
        <v>18</v>
      </c>
      <c r="D908" s="13" t="s">
        <v>17</v>
      </c>
      <c r="E908">
        <v>5</v>
      </c>
      <c r="F908" s="15">
        <v>2875</v>
      </c>
      <c r="G908" s="14">
        <v>664.49999999999989</v>
      </c>
      <c r="H908" s="14">
        <v>280.98107142857174</v>
      </c>
      <c r="I908" s="15">
        <v>575</v>
      </c>
    </row>
    <row r="909" spans="1:9" x14ac:dyDescent="0.3">
      <c r="A909" s="13" t="s">
        <v>32</v>
      </c>
      <c r="B909" s="13" t="s">
        <v>9</v>
      </c>
      <c r="C909" s="13" t="s">
        <v>15</v>
      </c>
      <c r="D909" s="13" t="s">
        <v>14</v>
      </c>
      <c r="E909">
        <v>15</v>
      </c>
      <c r="F909" s="15">
        <v>2475</v>
      </c>
      <c r="G909" s="14">
        <v>942.90000000000009</v>
      </c>
      <c r="H909" s="14">
        <v>215.6763214285715</v>
      </c>
      <c r="I909" s="15">
        <v>165</v>
      </c>
    </row>
    <row r="910" spans="1:9" x14ac:dyDescent="0.3">
      <c r="A910" s="13" t="s">
        <v>32</v>
      </c>
      <c r="B910" s="13" t="s">
        <v>9</v>
      </c>
      <c r="C910" s="13" t="s">
        <v>16</v>
      </c>
      <c r="D910" s="13" t="s">
        <v>17</v>
      </c>
      <c r="E910">
        <v>5</v>
      </c>
      <c r="F910" s="15">
        <v>1495</v>
      </c>
      <c r="G910" s="14">
        <v>466.05000000000007</v>
      </c>
      <c r="H910" s="14">
        <v>138.2076428571429</v>
      </c>
      <c r="I910" s="15">
        <v>299</v>
      </c>
    </row>
    <row r="911" spans="1:9" x14ac:dyDescent="0.3">
      <c r="A911" s="13" t="s">
        <v>32</v>
      </c>
      <c r="B911" s="13" t="s">
        <v>9</v>
      </c>
      <c r="C911" s="13" t="s">
        <v>13</v>
      </c>
      <c r="D911" s="13" t="s">
        <v>14</v>
      </c>
      <c r="E911">
        <v>10</v>
      </c>
      <c r="F911" s="15">
        <v>3750</v>
      </c>
      <c r="G911" s="14">
        <v>1529.9</v>
      </c>
      <c r="H911" s="14">
        <v>314.90925000000004</v>
      </c>
      <c r="I911" s="15">
        <v>375</v>
      </c>
    </row>
    <row r="912" spans="1:9" x14ac:dyDescent="0.3">
      <c r="A912" s="13" t="s">
        <v>32</v>
      </c>
      <c r="B912" s="13" t="s">
        <v>9</v>
      </c>
      <c r="C912" s="13" t="s">
        <v>22</v>
      </c>
      <c r="D912" s="13" t="s">
        <v>23</v>
      </c>
      <c r="E912">
        <v>5</v>
      </c>
      <c r="F912" s="15">
        <v>995</v>
      </c>
      <c r="G912" s="14">
        <v>222.24999999999994</v>
      </c>
      <c r="H912" s="14">
        <v>96.605892857142948</v>
      </c>
      <c r="I912" s="15">
        <v>199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05ECC-7CFC-4D0C-AFF5-0895158DBB71}">
  <dimension ref="A1:D84"/>
  <sheetViews>
    <sheetView workbookViewId="0">
      <selection activeCell="A3" sqref="A3:D8"/>
    </sheetView>
  </sheetViews>
  <sheetFormatPr defaultRowHeight="14.4" x14ac:dyDescent="0.3"/>
  <cols>
    <col min="1" max="1" width="22.77734375" customWidth="1"/>
    <col min="2" max="2" width="15.33203125" customWidth="1"/>
    <col min="3" max="3" width="16.21875" bestFit="1" customWidth="1"/>
    <col min="4" max="4" width="12.109375" bestFit="1" customWidth="1"/>
  </cols>
  <sheetData>
    <row r="1" spans="1:4" x14ac:dyDescent="0.3">
      <c r="A1" s="19" t="s">
        <v>40</v>
      </c>
    </row>
    <row r="3" spans="1:4" x14ac:dyDescent="0.3">
      <c r="A3" s="17" t="s">
        <v>35</v>
      </c>
      <c r="B3" t="s">
        <v>37</v>
      </c>
      <c r="C3" t="s">
        <v>38</v>
      </c>
      <c r="D3" t="s">
        <v>39</v>
      </c>
    </row>
    <row r="4" spans="1:4" x14ac:dyDescent="0.3">
      <c r="A4" s="18" t="s">
        <v>8</v>
      </c>
      <c r="B4" s="13">
        <v>51020</v>
      </c>
      <c r="C4" s="13">
        <v>45752900</v>
      </c>
      <c r="D4" s="13">
        <v>1684502.9306618257</v>
      </c>
    </row>
    <row r="5" spans="1:4" x14ac:dyDescent="0.3">
      <c r="A5" s="18" t="s">
        <v>32</v>
      </c>
      <c r="B5" s="13">
        <v>1355</v>
      </c>
      <c r="C5" s="13">
        <v>501645</v>
      </c>
      <c r="D5" s="13">
        <v>46489.131696428616</v>
      </c>
    </row>
    <row r="6" spans="1:4" x14ac:dyDescent="0.3">
      <c r="A6" s="18" t="s">
        <v>31</v>
      </c>
      <c r="B6" s="13">
        <v>15526</v>
      </c>
      <c r="C6" s="13">
        <v>4997594</v>
      </c>
      <c r="D6" s="13">
        <v>273245.32500000019</v>
      </c>
    </row>
    <row r="7" spans="1:4" x14ac:dyDescent="0.3">
      <c r="A7" s="18" t="s">
        <v>29</v>
      </c>
      <c r="B7" s="13">
        <v>14456</v>
      </c>
      <c r="C7" s="13">
        <v>6797172</v>
      </c>
      <c r="D7" s="13">
        <v>187629.55609362404</v>
      </c>
    </row>
    <row r="8" spans="1:4" x14ac:dyDescent="0.3">
      <c r="A8" s="18" t="s">
        <v>30</v>
      </c>
      <c r="B8" s="13">
        <v>188</v>
      </c>
      <c r="C8" s="13">
        <v>105174</v>
      </c>
      <c r="D8" s="13">
        <v>3917.4523809523839</v>
      </c>
    </row>
    <row r="9" spans="1:4" x14ac:dyDescent="0.3">
      <c r="A9" s="18" t="s">
        <v>36</v>
      </c>
      <c r="B9" s="13">
        <v>82545</v>
      </c>
      <c r="C9" s="13">
        <v>58154485</v>
      </c>
      <c r="D9" s="13">
        <v>2195784.395832831</v>
      </c>
    </row>
    <row r="43" spans="1:2" x14ac:dyDescent="0.3">
      <c r="A43" s="17" t="s">
        <v>35</v>
      </c>
      <c r="B43" t="s">
        <v>38</v>
      </c>
    </row>
    <row r="44" spans="1:2" x14ac:dyDescent="0.3">
      <c r="A44" s="18" t="s">
        <v>11</v>
      </c>
      <c r="B44" s="13">
        <v>30666620</v>
      </c>
    </row>
    <row r="45" spans="1:2" x14ac:dyDescent="0.3">
      <c r="A45" s="18" t="s">
        <v>17</v>
      </c>
      <c r="B45" s="13">
        <v>14847489</v>
      </c>
    </row>
    <row r="46" spans="1:2" x14ac:dyDescent="0.3">
      <c r="A46" s="18" t="s">
        <v>14</v>
      </c>
      <c r="B46" s="13">
        <v>7923585</v>
      </c>
    </row>
    <row r="47" spans="1:2" x14ac:dyDescent="0.3">
      <c r="A47" s="18" t="s">
        <v>23</v>
      </c>
      <c r="B47" s="13">
        <v>3551191</v>
      </c>
    </row>
    <row r="48" spans="1:2" x14ac:dyDescent="0.3">
      <c r="A48" s="18" t="s">
        <v>27</v>
      </c>
      <c r="B48" s="13">
        <v>1165600</v>
      </c>
    </row>
    <row r="49" spans="1:2" x14ac:dyDescent="0.3">
      <c r="A49" s="18" t="s">
        <v>36</v>
      </c>
      <c r="B49" s="13">
        <v>58154485</v>
      </c>
    </row>
    <row r="63" spans="1:2" x14ac:dyDescent="0.3">
      <c r="A63" s="19" t="s">
        <v>43</v>
      </c>
    </row>
    <row r="65" spans="1:2" x14ac:dyDescent="0.3">
      <c r="A65" s="17" t="s">
        <v>35</v>
      </c>
      <c r="B65" t="s">
        <v>42</v>
      </c>
    </row>
    <row r="66" spans="1:2" x14ac:dyDescent="0.3">
      <c r="A66" s="18" t="s">
        <v>17</v>
      </c>
      <c r="B66" s="13">
        <v>109765.23611829251</v>
      </c>
    </row>
    <row r="67" spans="1:2" x14ac:dyDescent="0.3">
      <c r="A67" s="28" t="s">
        <v>16</v>
      </c>
      <c r="B67" s="13">
        <v>26520.34666666665</v>
      </c>
    </row>
    <row r="68" spans="1:2" x14ac:dyDescent="0.3">
      <c r="A68" s="28" t="s">
        <v>18</v>
      </c>
      <c r="B68" s="13">
        <v>43673.516446135312</v>
      </c>
    </row>
    <row r="69" spans="1:2" x14ac:dyDescent="0.3">
      <c r="A69" s="28" t="s">
        <v>19</v>
      </c>
      <c r="B69" s="13">
        <v>39571.373005490546</v>
      </c>
    </row>
    <row r="70" spans="1:2" x14ac:dyDescent="0.3">
      <c r="A70" s="18" t="s">
        <v>23</v>
      </c>
      <c r="B70" s="13">
        <v>60837.102214764993</v>
      </c>
    </row>
    <row r="71" spans="1:2" x14ac:dyDescent="0.3">
      <c r="A71" s="28" t="s">
        <v>22</v>
      </c>
      <c r="B71" s="13">
        <v>9799.9062962962962</v>
      </c>
    </row>
    <row r="72" spans="1:2" x14ac:dyDescent="0.3">
      <c r="A72" s="28" t="s">
        <v>24</v>
      </c>
      <c r="B72" s="13">
        <v>27006.016156563943</v>
      </c>
    </row>
    <row r="73" spans="1:2" x14ac:dyDescent="0.3">
      <c r="A73" s="28" t="s">
        <v>25</v>
      </c>
      <c r="B73" s="13">
        <v>24031.179761904761</v>
      </c>
    </row>
    <row r="74" spans="1:2" x14ac:dyDescent="0.3">
      <c r="A74" s="18" t="s">
        <v>11</v>
      </c>
      <c r="B74" s="13">
        <v>121880.43882377894</v>
      </c>
    </row>
    <row r="75" spans="1:2" x14ac:dyDescent="0.3">
      <c r="A75" s="28" t="s">
        <v>10</v>
      </c>
      <c r="B75" s="13">
        <v>28306.578444444443</v>
      </c>
    </row>
    <row r="76" spans="1:2" x14ac:dyDescent="0.3">
      <c r="A76" s="28" t="s">
        <v>12</v>
      </c>
      <c r="B76" s="13">
        <v>43112.049129739135</v>
      </c>
    </row>
    <row r="77" spans="1:2" x14ac:dyDescent="0.3">
      <c r="A77" s="28" t="s">
        <v>21</v>
      </c>
      <c r="B77" s="13">
        <v>50461.811249595376</v>
      </c>
    </row>
    <row r="78" spans="1:2" x14ac:dyDescent="0.3">
      <c r="A78" s="18" t="s">
        <v>27</v>
      </c>
      <c r="B78" s="13">
        <v>7967.75</v>
      </c>
    </row>
    <row r="79" spans="1:2" x14ac:dyDescent="0.3">
      <c r="A79" s="28" t="s">
        <v>26</v>
      </c>
      <c r="B79" s="13">
        <v>7967.75</v>
      </c>
    </row>
    <row r="80" spans="1:2" x14ac:dyDescent="0.3">
      <c r="A80" s="18" t="s">
        <v>14</v>
      </c>
      <c r="B80" s="13">
        <v>36722.614418283127</v>
      </c>
    </row>
    <row r="81" spans="1:2" x14ac:dyDescent="0.3">
      <c r="A81" s="28" t="s">
        <v>15</v>
      </c>
      <c r="B81" s="13">
        <v>6214.711301169591</v>
      </c>
    </row>
    <row r="82" spans="1:2" x14ac:dyDescent="0.3">
      <c r="A82" s="28" t="s">
        <v>13</v>
      </c>
      <c r="B82" s="13">
        <v>17647.557398859564</v>
      </c>
    </row>
    <row r="83" spans="1:2" x14ac:dyDescent="0.3">
      <c r="A83" s="28" t="s">
        <v>20</v>
      </c>
      <c r="B83" s="13">
        <v>12860.34571825397</v>
      </c>
    </row>
    <row r="84" spans="1:2" x14ac:dyDescent="0.3">
      <c r="A84" s="18" t="s">
        <v>36</v>
      </c>
      <c r="B84" s="13">
        <v>337173.14157511963</v>
      </c>
    </row>
  </sheetData>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F1448-1B40-4425-82F6-073EAE6786B1}">
  <dimension ref="A4:B11"/>
  <sheetViews>
    <sheetView topLeftCell="A40" workbookViewId="0">
      <selection activeCell="Q42" sqref="Q42"/>
    </sheetView>
  </sheetViews>
  <sheetFormatPr defaultRowHeight="14.4" x14ac:dyDescent="0.3"/>
  <cols>
    <col min="1" max="1" width="28.88671875" style="11" bestFit="1" customWidth="1"/>
    <col min="2" max="2" width="11.5546875" style="11" bestFit="1" customWidth="1"/>
    <col min="3" max="16384" width="8.88671875" style="11"/>
  </cols>
  <sheetData>
    <row r="4" spans="1:2" ht="20.399999999999999" x14ac:dyDescent="0.3">
      <c r="A4" s="29" t="s">
        <v>47</v>
      </c>
    </row>
    <row r="5" spans="1:2" x14ac:dyDescent="0.3">
      <c r="A5" s="30"/>
    </row>
    <row r="6" spans="1:2" ht="15" x14ac:dyDescent="0.3">
      <c r="A6" s="31" t="s">
        <v>41</v>
      </c>
      <c r="B6" s="32">
        <f>SUM(Unified_Table[MRP Sales])</f>
        <v>58154485</v>
      </c>
    </row>
    <row r="7" spans="1:2" ht="15" x14ac:dyDescent="0.3">
      <c r="A7" s="31" t="s">
        <v>44</v>
      </c>
      <c r="B7" s="11">
        <f>SUM(Unified_Table[Qty])</f>
        <v>82545</v>
      </c>
    </row>
    <row r="8" spans="1:2" ht="15" x14ac:dyDescent="0.3">
      <c r="A8" s="31" t="s">
        <v>45</v>
      </c>
      <c r="B8" s="33">
        <f>SUM(Unified_Table[[Discounts ]])</f>
        <v>24697835.340000015</v>
      </c>
    </row>
    <row r="9" spans="1:2" ht="15" x14ac:dyDescent="0.3">
      <c r="A9" s="31" t="s">
        <v>46</v>
      </c>
      <c r="B9" s="33">
        <f>SUM(Unified_Table[Taxes])</f>
        <v>2195784.3958328315</v>
      </c>
    </row>
    <row r="10" spans="1:2" ht="15" x14ac:dyDescent="0.3">
      <c r="A10" s="31" t="s">
        <v>48</v>
      </c>
      <c r="B10" s="34">
        <f>(SUM(Unified_Table[MRP Sales]) - SUM(Unified_Table[[Discounts ]]) - SUM(Unified_Table[Taxes]))/SUM(Unified_Table[MRP Sales])</f>
        <v>0.53754865620712056</v>
      </c>
    </row>
    <row r="11" spans="1:2" ht="15" x14ac:dyDescent="0.3">
      <c r="A11" s="31"/>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11767-23EF-488D-A14E-4F070AA80A0A}">
  <dimension ref="C1:T31"/>
  <sheetViews>
    <sheetView showGridLines="0" tabSelected="1" workbookViewId="0">
      <selection activeCell="N36" sqref="N36"/>
    </sheetView>
  </sheetViews>
  <sheetFormatPr defaultRowHeight="14.4" x14ac:dyDescent="0.3"/>
  <cols>
    <col min="1" max="2" width="8.88671875" style="20"/>
    <col min="3" max="3" width="13.77734375" style="20" bestFit="1" customWidth="1"/>
    <col min="4" max="4" width="8.88671875" style="20"/>
    <col min="5" max="5" width="13.77734375" style="20" bestFit="1" customWidth="1"/>
    <col min="6" max="14" width="8.88671875" style="20"/>
    <col min="15" max="15" width="7.109375" style="20" customWidth="1"/>
    <col min="16" max="16" width="16.109375" style="20" bestFit="1" customWidth="1"/>
    <col min="17" max="18" width="8.88671875" style="20"/>
    <col min="19" max="19" width="7.5546875" style="20" customWidth="1"/>
    <col min="20" max="20" width="10.33203125" style="20" bestFit="1" customWidth="1"/>
    <col min="21" max="16384" width="8.88671875" style="20"/>
  </cols>
  <sheetData>
    <row r="1" spans="3:20" s="22" customFormat="1" x14ac:dyDescent="0.3"/>
    <row r="2" spans="3:20" s="22" customFormat="1" x14ac:dyDescent="0.3"/>
    <row r="3" spans="3:20" s="21" customFormat="1" x14ac:dyDescent="0.3"/>
    <row r="4" spans="3:20" s="21" customFormat="1" x14ac:dyDescent="0.3"/>
    <row r="5" spans="3:20" s="21" customFormat="1" x14ac:dyDescent="0.3"/>
    <row r="6" spans="3:20" s="21" customFormat="1" ht="21" x14ac:dyDescent="0.4">
      <c r="C6" s="23">
        <f>SUM(Unified_Table!F2:F912)</f>
        <v>58154485</v>
      </c>
      <c r="G6" s="24">
        <f>SUM(Unified_Table!E2:E912)</f>
        <v>82545</v>
      </c>
      <c r="P6" s="25">
        <f>SUM(Unified_Table[Taxes])</f>
        <v>2195784.3958328315</v>
      </c>
      <c r="T6" s="26">
        <f>(SUM(Unified_Table[MRP Sales]) - SUM(Unified_Table[[Discounts ]]) - SUM(Unified_Table[Taxes]))/SUM(Unified_Table[MRP Sales])</f>
        <v>0.53754865620712056</v>
      </c>
    </row>
    <row r="7" spans="3:20" s="21" customFormat="1" x14ac:dyDescent="0.3"/>
    <row r="8" spans="3:20" s="27" customFormat="1" x14ac:dyDescent="0.3"/>
    <row r="9" spans="3:20" s="27" customFormat="1" x14ac:dyDescent="0.3"/>
    <row r="10" spans="3:20" s="27" customFormat="1" x14ac:dyDescent="0.3"/>
    <row r="11" spans="3:20" s="27" customFormat="1" x14ac:dyDescent="0.3"/>
    <row r="12" spans="3:20" s="27" customFormat="1" x14ac:dyDescent="0.3"/>
    <row r="13" spans="3:20" s="27" customFormat="1" x14ac:dyDescent="0.3"/>
    <row r="14" spans="3:20" s="27" customFormat="1" x14ac:dyDescent="0.3"/>
    <row r="15" spans="3:20" s="27" customFormat="1" x14ac:dyDescent="0.3"/>
    <row r="16" spans="3:20" s="27" customFormat="1" x14ac:dyDescent="0.3"/>
    <row r="17" s="27" customFormat="1" x14ac:dyDescent="0.3"/>
    <row r="18" s="27" customFormat="1" x14ac:dyDescent="0.3"/>
    <row r="19" s="27" customFormat="1" x14ac:dyDescent="0.3"/>
    <row r="20" s="27" customFormat="1" x14ac:dyDescent="0.3"/>
    <row r="21" s="27" customFormat="1" x14ac:dyDescent="0.3"/>
    <row r="22" s="27" customFormat="1" x14ac:dyDescent="0.3"/>
    <row r="23" s="27" customFormat="1" x14ac:dyDescent="0.3"/>
    <row r="24" s="27" customFormat="1" x14ac:dyDescent="0.3"/>
    <row r="25" s="27" customFormat="1" x14ac:dyDescent="0.3"/>
    <row r="26" s="27" customFormat="1" x14ac:dyDescent="0.3"/>
    <row r="27" s="27" customFormat="1" x14ac:dyDescent="0.3"/>
    <row r="28" s="27" customFormat="1" x14ac:dyDescent="0.3"/>
    <row r="29" s="27" customFormat="1" x14ac:dyDescent="0.3"/>
    <row r="30" s="27" customFormat="1" x14ac:dyDescent="0.3"/>
    <row r="31" s="27"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A47B62-FDAF-47DB-B1E9-FB1DFD844B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AZ</vt:lpstr>
      <vt:lpstr>Flipkart</vt:lpstr>
      <vt:lpstr>jiomart</vt:lpstr>
      <vt:lpstr>Blinkit</vt:lpstr>
      <vt:lpstr>BB</vt:lpstr>
      <vt:lpstr>Unified_Table</vt:lpstr>
      <vt:lpstr>Pivots</vt:lpstr>
      <vt:lpstr>Report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Abhishek Panda</dc:creator>
  <cp:keywords/>
  <dc:description/>
  <cp:lastModifiedBy>Subhadip Das</cp:lastModifiedBy>
  <cp:revision/>
  <dcterms:created xsi:type="dcterms:W3CDTF">2024-02-08T12:19:15Z</dcterms:created>
  <dcterms:modified xsi:type="dcterms:W3CDTF">2024-04-14T11:48:06Z</dcterms:modified>
  <cp:category/>
  <cp:contentStatus/>
</cp:coreProperties>
</file>